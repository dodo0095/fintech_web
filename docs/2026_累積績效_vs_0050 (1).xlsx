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2026月度績效比較" sheetId="1" r:id="rId1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9" i="1"/>
  <c r="I8"/>
  <c r="I7"/>
  <c r="I6"/>
  <c r="I5"/>
  <c r="I4"/>
  <c r="I3"/>
  <c r="L2"/>
  <c r="N2" s="1"/>
  <c r="K2"/>
  <c r="M2" s="1"/>
  <c r="J2"/>
  <c r="J3" s="1"/>
  <c r="I2"/>
  <c r="J4" l="1"/>
  <c r="L3"/>
  <c r="K3"/>
  <c r="L4" l="1"/>
  <c r="J5"/>
  <c r="M3"/>
  <c r="N3" s="1"/>
  <c r="K4"/>
  <c r="L5" l="1"/>
  <c r="J6"/>
  <c r="K5"/>
  <c r="M4"/>
  <c r="N4" s="1"/>
  <c r="L6" l="1"/>
  <c r="J7"/>
  <c r="K6"/>
  <c r="M5"/>
  <c r="N5" s="1"/>
  <c r="L7" l="1"/>
  <c r="J8"/>
  <c r="M6"/>
  <c r="N6" s="1"/>
  <c r="K7"/>
  <c r="L8" l="1"/>
  <c r="J9"/>
  <c r="L9" s="1"/>
  <c r="M7"/>
  <c r="N7" s="1"/>
  <c r="K8"/>
  <c r="K9" l="1"/>
  <c r="M9" s="1"/>
  <c r="N9" s="1"/>
  <c r="M8"/>
  <c r="N8" s="1"/>
</calcChain>
</file>

<file path=xl/comments1.xml><?xml version="1.0" encoding="utf-8"?>
<comments xmlns="http://schemas.openxmlformats.org/spreadsheetml/2006/main">
  <authors>
    <author>Unknown Author</author>
  </authors>
  <commentList>
    <comment ref="F1" authorId="0">
      <text>
        <r>
          <rPr>
            <sz val="10"/>
            <rFont val="Noto Sans CJK SC"/>
            <family val="2"/>
          </rPr>
          <t>機器人報酬</t>
        </r>
        <r>
          <rPr>
            <sz val="10"/>
            <rFont val="Arial"/>
            <family val="2"/>
          </rPr>
          <t>% = (Σ</t>
        </r>
        <r>
          <rPr>
            <sz val="10"/>
            <rFont val="Noto Sans CJK SC"/>
            <family val="2"/>
          </rPr>
          <t>賣出價</t>
        </r>
        <r>
          <rPr>
            <sz val="10"/>
            <rFont val="Arial"/>
            <family val="2"/>
          </rPr>
          <t>-Σ</t>
        </r>
        <r>
          <rPr>
            <sz val="10"/>
            <rFont val="Noto Sans CJK SC"/>
            <family val="2"/>
          </rPr>
          <t>買進價</t>
        </r>
        <r>
          <rPr>
            <sz val="10"/>
            <rFont val="Arial"/>
            <family val="2"/>
          </rPr>
          <t>)/Σ</t>
        </r>
        <r>
          <rPr>
            <sz val="10"/>
            <rFont val="Noto Sans CJK SC"/>
            <family val="2"/>
          </rPr>
          <t>買進價</t>
        </r>
        <r>
          <rPr>
            <sz val="10"/>
            <rFont val="Arial"/>
            <family val="2"/>
          </rPr>
          <t>*100,</t>
        </r>
        <r>
          <rPr>
            <sz val="10"/>
            <rFont val="Noto Sans CJK SC"/>
            <family val="2"/>
          </rPr>
          <t>每檔買同樣張數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價格加權</t>
        </r>
        <r>
          <rPr>
            <sz val="10"/>
            <rFont val="Arial"/>
            <family val="2"/>
          </rPr>
          <t>,</t>
        </r>
        <r>
          <rPr>
            <sz val="10"/>
            <rFont val="Noto Sans CJK SC"/>
            <family val="2"/>
          </rPr>
          <t>非個股報酬率平均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 xml:space="preserve">。
</t>
        </r>
        <r>
          <rPr>
            <sz val="10"/>
            <rFont val="Arial"/>
            <family val="2"/>
          </rPr>
          <t>1-5</t>
        </r>
        <r>
          <rPr>
            <sz val="10"/>
            <rFont val="Noto Sans CJK SC"/>
            <family val="2"/>
          </rPr>
          <t>月數字與你「工作表</t>
        </r>
        <r>
          <rPr>
            <sz val="10"/>
            <rFont val="Arial"/>
            <family val="2"/>
          </rPr>
          <t>2</t>
        </r>
        <r>
          <rPr>
            <sz val="10"/>
            <rFont val="Noto Sans CJK SC"/>
            <family val="2"/>
          </rPr>
          <t>」原本記錄以此算法核對一致</t>
        </r>
        <r>
          <rPr>
            <sz val="10"/>
            <rFont val="Arial"/>
            <family val="2"/>
          </rPr>
          <t>;6-8</t>
        </r>
        <r>
          <rPr>
            <sz val="10"/>
            <rFont val="Noto Sans CJK SC"/>
            <family val="2"/>
          </rPr>
          <t>月為新算。</t>
        </r>
      </text>
    </comment>
    <comment ref="I1" authorId="0">
      <text>
        <r>
          <rPr>
            <sz val="10"/>
            <rFont val="Arial"/>
            <family val="2"/>
          </rPr>
          <t>0050</t>
        </r>
        <r>
          <rPr>
            <sz val="10"/>
            <rFont val="Noto Sans CJK SC"/>
            <family val="2"/>
          </rPr>
          <t>報酬</t>
        </r>
        <r>
          <rPr>
            <sz val="10"/>
            <rFont val="Arial"/>
            <family val="2"/>
          </rPr>
          <t>% = (</t>
        </r>
        <r>
          <rPr>
            <sz val="10"/>
            <rFont val="Noto Sans CJK SC"/>
            <family val="2"/>
          </rPr>
          <t>賣出價</t>
        </r>
        <r>
          <rPr>
            <sz val="10"/>
            <rFont val="Arial"/>
            <family val="2"/>
          </rPr>
          <t>-</t>
        </r>
        <r>
          <rPr>
            <sz val="10"/>
            <rFont val="Noto Sans CJK SC"/>
            <family val="2"/>
          </rPr>
          <t>買進價</t>
        </r>
        <r>
          <rPr>
            <sz val="10"/>
            <rFont val="Arial"/>
            <family val="2"/>
          </rPr>
          <t>)/</t>
        </r>
        <r>
          <rPr>
            <sz val="10"/>
            <rFont val="Noto Sans CJK SC"/>
            <family val="2"/>
          </rPr>
          <t>買進價</t>
        </r>
        <r>
          <rPr>
            <sz val="10"/>
            <rFont val="Arial"/>
            <family val="2"/>
          </rPr>
          <t>*100,</t>
        </r>
        <r>
          <rPr>
            <sz val="10"/>
            <rFont val="Noto Sans CJK SC"/>
            <family val="2"/>
          </rPr>
          <t>買賣價取自</t>
        </r>
        <r>
          <rPr>
            <sz val="10"/>
            <rFont val="Arial"/>
            <family val="2"/>
          </rPr>
          <t>TWSE STOCK_DAY</t>
        </r>
        <r>
          <rPr>
            <sz val="10"/>
            <rFont val="Noto Sans CJK SC"/>
            <family val="2"/>
          </rPr>
          <t>實際收盤價。
遇名目日非交易日</t>
        </r>
        <r>
          <rPr>
            <sz val="10"/>
            <rFont val="Arial"/>
            <family val="2"/>
          </rPr>
          <t>:</t>
        </r>
        <r>
          <rPr>
            <sz val="10"/>
            <rFont val="Noto Sans CJK SC"/>
            <family val="2"/>
          </rPr>
          <t>買進日順延至下一交易日</t>
        </r>
        <r>
          <rPr>
            <sz val="10"/>
            <rFont val="Arial"/>
            <family val="2"/>
          </rPr>
          <t>,</t>
        </r>
        <r>
          <rPr>
            <sz val="10"/>
            <rFont val="Noto Sans CJK SC"/>
            <family val="2"/>
          </rPr>
          <t>賣出日往前取最近交易日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與機器人持有期間對齊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。</t>
        </r>
      </text>
    </comment>
  </commentList>
</comments>
</file>

<file path=xl/sharedStrings.xml><?xml version="1.0" encoding="utf-8"?>
<sst xmlns="http://schemas.openxmlformats.org/spreadsheetml/2006/main" count="55" uniqueCount="38">
  <si>
    <t>月份</t>
  </si>
  <si>
    <r>
      <rPr>
        <b/>
        <sz val="11"/>
        <color rgb="FFFFFFFF"/>
        <rFont val="Noto Sans CJK SC"/>
        <family val="2"/>
      </rPr>
      <t>起始日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名目</t>
    </r>
    <r>
      <rPr>
        <b/>
        <sz val="11"/>
        <color rgb="FFFFFFFF"/>
        <rFont val="Arial"/>
        <family val="2"/>
      </rPr>
      <t>)</t>
    </r>
  </si>
  <si>
    <t>起始交易日</t>
  </si>
  <si>
    <r>
      <rPr>
        <b/>
        <sz val="11"/>
        <color rgb="FFFFFFFF"/>
        <rFont val="Noto Sans CJK SC"/>
        <family val="2"/>
      </rPr>
      <t>結束日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名目</t>
    </r>
    <r>
      <rPr>
        <b/>
        <sz val="11"/>
        <color rgb="FFFFFFFF"/>
        <rFont val="Arial"/>
        <family val="2"/>
      </rPr>
      <t>)</t>
    </r>
  </si>
  <si>
    <t>結束交易日</t>
  </si>
  <si>
    <r>
      <rPr>
        <b/>
        <sz val="11"/>
        <color rgb="FFFFFFFF"/>
        <rFont val="Noto Sans CJK SC"/>
        <family val="2"/>
      </rPr>
      <t>機器人報酬</t>
    </r>
    <r>
      <rPr>
        <b/>
        <sz val="11"/>
        <color rgb="FFFFFFFF"/>
        <rFont val="Arial"/>
        <family val="2"/>
      </rPr>
      <t>%</t>
    </r>
  </si>
  <si>
    <r>
      <rPr>
        <b/>
        <sz val="11"/>
        <color rgb="FFFFFFFF"/>
        <rFont val="Arial"/>
        <family val="2"/>
      </rPr>
      <t>0050</t>
    </r>
    <r>
      <rPr>
        <b/>
        <sz val="11"/>
        <color rgb="FFFFFFFF"/>
        <rFont val="Noto Sans CJK SC"/>
        <family val="2"/>
      </rPr>
      <t>買進價</t>
    </r>
  </si>
  <si>
    <r>
      <rPr>
        <b/>
        <sz val="11"/>
        <color rgb="FFFFFFFF"/>
        <rFont val="Arial"/>
        <family val="2"/>
      </rPr>
      <t>0050</t>
    </r>
    <r>
      <rPr>
        <b/>
        <sz val="11"/>
        <color rgb="FFFFFFFF"/>
        <rFont val="Noto Sans CJK SC"/>
        <family val="2"/>
      </rPr>
      <t>賣出價</t>
    </r>
  </si>
  <si>
    <r>
      <rPr>
        <b/>
        <sz val="11"/>
        <color rgb="FFFFFFFF"/>
        <rFont val="Arial"/>
        <family val="2"/>
      </rPr>
      <t>0050</t>
    </r>
    <r>
      <rPr>
        <b/>
        <sz val="11"/>
        <color rgb="FFFFFFFF"/>
        <rFont val="Noto Sans CJK SC"/>
        <family val="2"/>
      </rPr>
      <t>報酬</t>
    </r>
    <r>
      <rPr>
        <b/>
        <sz val="11"/>
        <color rgb="FFFFFFFF"/>
        <rFont val="Arial"/>
        <family val="2"/>
      </rPr>
      <t>%</t>
    </r>
  </si>
  <si>
    <t>機器人累積淨值</t>
  </si>
  <si>
    <r>
      <rPr>
        <b/>
        <sz val="11"/>
        <color rgb="FFFFFFFF"/>
        <rFont val="Arial"/>
        <family val="2"/>
      </rPr>
      <t>0050</t>
    </r>
    <r>
      <rPr>
        <b/>
        <sz val="11"/>
        <color rgb="FFFFFFFF"/>
        <rFont val="Noto Sans CJK SC"/>
        <family val="2"/>
      </rPr>
      <t>累積淨值</t>
    </r>
  </si>
  <si>
    <r>
      <rPr>
        <b/>
        <sz val="11"/>
        <color rgb="FFFFFFFF"/>
        <rFont val="Noto Sans CJK SC"/>
        <family val="2"/>
      </rPr>
      <t>機器人累積報酬</t>
    </r>
    <r>
      <rPr>
        <b/>
        <sz val="11"/>
        <color rgb="FFFFFFFF"/>
        <rFont val="Arial"/>
        <family val="2"/>
      </rPr>
      <t>%</t>
    </r>
  </si>
  <si>
    <r>
      <rPr>
        <b/>
        <sz val="11"/>
        <color rgb="FFFFFFFF"/>
        <rFont val="Arial"/>
        <family val="2"/>
      </rPr>
      <t>0050</t>
    </r>
    <r>
      <rPr>
        <b/>
        <sz val="11"/>
        <color rgb="FFFFFFFF"/>
        <rFont val="Noto Sans CJK SC"/>
        <family val="2"/>
      </rPr>
      <t>累積報酬</t>
    </r>
    <r>
      <rPr>
        <b/>
        <sz val="11"/>
        <color rgb="FFFFFFFF"/>
        <rFont val="Arial"/>
        <family val="2"/>
      </rPr>
      <t>%</t>
    </r>
  </si>
  <si>
    <r>
      <rPr>
        <b/>
        <sz val="11"/>
        <color rgb="FFFFFFFF"/>
        <rFont val="Noto Sans CJK SC"/>
        <family val="2"/>
      </rPr>
      <t>超額報酬</t>
    </r>
    <r>
      <rPr>
        <b/>
        <sz val="11"/>
        <color rgb="FFFFFFFF"/>
        <rFont val="Arial"/>
        <family val="2"/>
      </rPr>
      <t>%(</t>
    </r>
    <r>
      <rPr>
        <b/>
        <sz val="11"/>
        <color rgb="FFFFFFFF"/>
        <rFont val="Noto Sans CJK SC"/>
        <family val="2"/>
      </rPr>
      <t>機器人</t>
    </r>
    <r>
      <rPr>
        <b/>
        <sz val="11"/>
        <color rgb="FFFFFFFF"/>
        <rFont val="Arial"/>
        <family val="2"/>
      </rPr>
      <t>-0050)</t>
    </r>
  </si>
  <si>
    <r>
      <rPr>
        <sz val="11"/>
        <rFont val="Arial"/>
        <family val="2"/>
      </rPr>
      <t>1</t>
    </r>
    <r>
      <rPr>
        <sz val="11"/>
        <rFont val="Noto Sans CJK SC"/>
        <family val="2"/>
      </rPr>
      <t>月</t>
    </r>
  </si>
  <si>
    <t>2026/01/11</t>
  </si>
  <si>
    <t>2026/01/12</t>
  </si>
  <si>
    <t>2026/02/11</t>
  </si>
  <si>
    <r>
      <rPr>
        <sz val="11"/>
        <rFont val="Arial"/>
        <family val="2"/>
      </rPr>
      <t>2</t>
    </r>
    <r>
      <rPr>
        <sz val="11"/>
        <rFont val="Noto Sans CJK SC"/>
        <family val="2"/>
      </rPr>
      <t>月</t>
    </r>
  </si>
  <si>
    <t>2026/03/11</t>
  </si>
  <si>
    <r>
      <rPr>
        <sz val="11"/>
        <rFont val="Arial"/>
        <family val="2"/>
      </rPr>
      <t>3</t>
    </r>
    <r>
      <rPr>
        <sz val="11"/>
        <rFont val="Noto Sans CJK SC"/>
        <family val="2"/>
      </rPr>
      <t>月</t>
    </r>
  </si>
  <si>
    <t>2026/04/11</t>
  </si>
  <si>
    <t>2026/04/10</t>
  </si>
  <si>
    <r>
      <rPr>
        <sz val="11"/>
        <rFont val="Arial"/>
        <family val="2"/>
      </rPr>
      <t>4</t>
    </r>
    <r>
      <rPr>
        <sz val="11"/>
        <rFont val="Noto Sans CJK SC"/>
        <family val="2"/>
      </rPr>
      <t>月</t>
    </r>
  </si>
  <si>
    <t>2026/04/13</t>
  </si>
  <si>
    <t>2026/05/11</t>
  </si>
  <si>
    <r>
      <rPr>
        <sz val="11"/>
        <rFont val="Arial"/>
        <family val="2"/>
      </rPr>
      <t>5</t>
    </r>
    <r>
      <rPr>
        <sz val="11"/>
        <rFont val="Noto Sans CJK SC"/>
        <family val="2"/>
      </rPr>
      <t>月</t>
    </r>
  </si>
  <si>
    <t>2026/06/11</t>
  </si>
  <si>
    <r>
      <rPr>
        <sz val="11"/>
        <rFont val="Arial"/>
        <family val="2"/>
      </rPr>
      <t>6</t>
    </r>
    <r>
      <rPr>
        <sz val="11"/>
        <rFont val="Noto Sans CJK SC"/>
        <family val="2"/>
      </rPr>
      <t>月</t>
    </r>
  </si>
  <si>
    <t>2026/07/11</t>
  </si>
  <si>
    <t>2026/07/10</t>
  </si>
  <si>
    <r>
      <rPr>
        <sz val="11"/>
        <rFont val="Arial"/>
        <family val="2"/>
      </rPr>
      <t>7</t>
    </r>
    <r>
      <rPr>
        <sz val="11"/>
        <rFont val="Noto Sans CJK SC"/>
        <family val="2"/>
      </rPr>
      <t>月</t>
    </r>
  </si>
  <si>
    <t>2026/07/13</t>
  </si>
  <si>
    <t>2026/08/11</t>
  </si>
  <si>
    <t>2026/08/10</t>
  </si>
  <si>
    <r>
      <rPr>
        <sz val="11"/>
        <rFont val="Arial"/>
        <family val="2"/>
      </rPr>
      <t>8</t>
    </r>
    <r>
      <rPr>
        <sz val="11"/>
        <rFont val="Noto Sans CJK SC"/>
        <family val="2"/>
      </rPr>
      <t>月</t>
    </r>
  </si>
  <si>
    <t>2026/09/11</t>
  </si>
  <si>
    <r>
      <rPr>
        <i/>
        <sz val="9"/>
        <color rgb="FF888888"/>
        <rFont val="Noto Sans CJK SC"/>
        <family val="2"/>
      </rPr>
      <t>註</t>
    </r>
    <r>
      <rPr>
        <i/>
        <sz val="9"/>
        <color rgb="FF888888"/>
        <rFont val="Arial"/>
        <family val="2"/>
      </rPr>
      <t>:</t>
    </r>
    <r>
      <rPr>
        <i/>
        <sz val="9"/>
        <color rgb="FF888888"/>
        <rFont val="Noto Sans CJK SC"/>
        <family val="2"/>
      </rPr>
      <t>工作表</t>
    </r>
    <r>
      <rPr>
        <i/>
        <sz val="9"/>
        <color rgb="FF888888"/>
        <rFont val="Arial"/>
        <family val="2"/>
      </rPr>
      <t>2</t>
    </r>
    <r>
      <rPr>
        <i/>
        <sz val="9"/>
        <color rgb="FF888888"/>
        <rFont val="Noto Sans CJK SC"/>
        <family val="2"/>
      </rPr>
      <t>原記錄</t>
    </r>
    <r>
      <rPr>
        <i/>
        <sz val="9"/>
        <color rgb="FF888888"/>
        <rFont val="Arial"/>
        <family val="2"/>
      </rPr>
      <t>1-2</t>
    </r>
    <r>
      <rPr>
        <i/>
        <sz val="9"/>
        <color rgb="FF888888"/>
        <rFont val="Noto Sans CJK SC"/>
        <family val="2"/>
      </rPr>
      <t>月</t>
    </r>
    <r>
      <rPr>
        <i/>
        <sz val="9"/>
        <color rgb="FF888888"/>
        <rFont val="Arial"/>
        <family val="2"/>
      </rPr>
      <t>0050</t>
    </r>
    <r>
      <rPr>
        <i/>
        <sz val="9"/>
        <color rgb="FF888888"/>
        <rFont val="Noto Sans CJK SC"/>
        <family val="2"/>
      </rPr>
      <t>績效為</t>
    </r>
    <r>
      <rPr>
        <i/>
        <sz val="9"/>
        <color rgb="FF888888"/>
        <rFont val="Arial"/>
        <family val="2"/>
      </rPr>
      <t>7.3%/-2.5%,</t>
    </r>
    <r>
      <rPr>
        <i/>
        <sz val="9"/>
        <color rgb="FF888888"/>
        <rFont val="Noto Sans CJK SC"/>
        <family val="2"/>
      </rPr>
      <t>與本表用實際收盤價重算的</t>
    </r>
    <r>
      <rPr>
        <i/>
        <sz val="9"/>
        <color rgb="FF888888"/>
        <rFont val="Arial"/>
        <family val="2"/>
      </rPr>
      <t>9.74%/1.30%</t>
    </r>
    <r>
      <rPr>
        <i/>
        <sz val="9"/>
        <color rgb="FF888888"/>
        <rFont val="Noto Sans CJK SC"/>
        <family val="2"/>
      </rPr>
      <t>不同</t>
    </r>
    <r>
      <rPr>
        <i/>
        <sz val="9"/>
        <color rgb="FF888888"/>
        <rFont val="Arial"/>
        <family val="2"/>
      </rPr>
      <t>,3-4</t>
    </r>
    <r>
      <rPr>
        <i/>
        <sz val="9"/>
        <color rgb="FF888888"/>
        <rFont val="Noto Sans CJK SC"/>
        <family val="2"/>
      </rPr>
      <t>月則吻合</t>
    </r>
    <r>
      <rPr>
        <i/>
        <sz val="9"/>
        <color rgb="FF888888"/>
        <rFont val="Arial"/>
        <family val="2"/>
      </rPr>
      <t>(3.26%≈3.2%,20.22%≈20.12%)</t>
    </r>
    <r>
      <rPr>
        <i/>
        <sz val="9"/>
        <color rgb="FF888888"/>
        <rFont val="Noto Sans CJK SC"/>
        <family val="2"/>
      </rPr>
      <t>。本表</t>
    </r>
    <r>
      <rPr>
        <i/>
        <sz val="9"/>
        <color rgb="FF888888"/>
        <rFont val="Arial"/>
        <family val="2"/>
      </rPr>
      <t>1-8</t>
    </r>
    <r>
      <rPr>
        <i/>
        <sz val="9"/>
        <color rgb="FF888888"/>
        <rFont val="Noto Sans CJK SC"/>
        <family val="2"/>
      </rPr>
      <t>月</t>
    </r>
    <r>
      <rPr>
        <i/>
        <sz val="9"/>
        <color rgb="FF888888"/>
        <rFont val="Arial"/>
        <family val="2"/>
      </rPr>
      <t>0050</t>
    </r>
    <r>
      <rPr>
        <i/>
        <sz val="9"/>
        <color rgb="FF888888"/>
        <rFont val="Noto Sans CJK SC"/>
        <family val="2"/>
      </rPr>
      <t>數字均以同一方法</t>
    </r>
    <r>
      <rPr>
        <i/>
        <sz val="9"/>
        <color rgb="FF888888"/>
        <rFont val="Arial"/>
        <family val="2"/>
      </rPr>
      <t>(</t>
    </r>
    <r>
      <rPr>
        <i/>
        <sz val="9"/>
        <color rgb="FF888888"/>
        <rFont val="Noto Sans CJK SC"/>
        <family val="2"/>
      </rPr>
      <t>對齊機器人持有起訖日的實際收盤價</t>
    </r>
    <r>
      <rPr>
        <i/>
        <sz val="9"/>
        <color rgb="FF888888"/>
        <rFont val="Arial"/>
        <family val="2"/>
      </rPr>
      <t>)</t>
    </r>
    <r>
      <rPr>
        <i/>
        <sz val="9"/>
        <color rgb="FF888888"/>
        <rFont val="Noto Sans CJK SC"/>
        <family val="2"/>
      </rPr>
      <t>重新計算</t>
    </r>
    <r>
      <rPr>
        <i/>
        <sz val="9"/>
        <color rgb="FF888888"/>
        <rFont val="Arial"/>
        <family val="2"/>
      </rPr>
      <t>,</t>
    </r>
    <r>
      <rPr>
        <i/>
        <sz val="9"/>
        <color rgb="FF888888"/>
        <rFont val="Noto Sans CJK SC"/>
        <family val="2"/>
      </rPr>
      <t>供一致比較。</t>
    </r>
  </si>
</sst>
</file>

<file path=xl/styles.xml><?xml version="1.0" encoding="utf-8"?>
<styleSheet xmlns="http://schemas.openxmlformats.org/spreadsheetml/2006/main">
  <numFmts count="1">
    <numFmt numFmtId="176" formatCode="0.0000"/>
  </numFmts>
  <fonts count="10">
    <font>
      <sz val="11"/>
      <color theme="1"/>
      <name val="Calibri"/>
      <family val="2"/>
      <charset val="1"/>
    </font>
    <font>
      <b/>
      <sz val="11"/>
      <color rgb="FFFFFFFF"/>
      <name val="Noto Sans CJK SC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name val="Noto Sans CJK SC"/>
      <family val="2"/>
    </font>
    <font>
      <i/>
      <sz val="9"/>
      <color rgb="FF888888"/>
      <name val="Noto Sans CJK SC"/>
      <family val="2"/>
    </font>
    <font>
      <i/>
      <sz val="9"/>
      <color rgb="FF888888"/>
      <name val="Arial"/>
      <family val="2"/>
    </font>
    <font>
      <sz val="10"/>
      <name val="Noto Sans CJK SC"/>
      <family val="2"/>
    </font>
    <font>
      <sz val="10"/>
      <name val="Arial"/>
      <family val="2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A7EBB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5" fillId="0" borderId="0" xfId="0" applyFont="1" applyBorder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right"/>
    </xf>
    <xf numFmtId="176" fontId="3" fillId="0" borderId="1" xfId="0" applyNumberFormat="1" applyFont="1" applyBorder="1" applyAlignment="1">
      <alignment horizontal="right"/>
    </xf>
  </cellXfs>
  <cellStyles count="1">
    <cellStyle name="一般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A7EBB"/>
      <rgbColor rgb="FF888888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TW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2026 機器人策略 vs 0050 累積報酬率(%)</a:t>
            </a:r>
          </a:p>
        </c:rich>
      </c:tx>
      <c:layout/>
      <c:spPr>
        <a:noFill/>
        <a:ln w="0">
          <a:noFill/>
        </a:ln>
      </c:spPr>
    </c:title>
    <c:plotArea>
      <c:layout/>
      <c:lineChart>
        <c:grouping val="standard"/>
        <c:ser>
          <c:idx val="0"/>
          <c:order val="0"/>
          <c:tx>
            <c:strRef>
              <c:f>'2026月度績效比較'!$L$1</c:f>
              <c:strCache>
                <c:ptCount val="1"/>
                <c:pt idx="0">
                  <c:v>機器人累積報酬%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cat>
            <c:strRef>
              <c:f>'2026月度績效比較'!$A$2:$A$9</c:f>
              <c:strCache>
                <c:ptCount val="8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</c:strCache>
            </c:strRef>
          </c:cat>
          <c:val>
            <c:numRef>
              <c:f>'2026月度績效比較'!$L$2:$L$9</c:f>
              <c:numCache>
                <c:formatCode>0.00</c:formatCode>
                <c:ptCount val="8"/>
                <c:pt idx="0">
                  <c:v>8.2899999999999991</c:v>
                </c:pt>
                <c:pt idx="1">
                  <c:v>9.94</c:v>
                </c:pt>
                <c:pt idx="2">
                  <c:v>29.97</c:v>
                </c:pt>
                <c:pt idx="3">
                  <c:v>61.57</c:v>
                </c:pt>
                <c:pt idx="4">
                  <c:v>51.14</c:v>
                </c:pt>
                <c:pt idx="5">
                  <c:v>87.12</c:v>
                </c:pt>
                <c:pt idx="6">
                  <c:v>78.849999999999994</c:v>
                </c:pt>
                <c:pt idx="7">
                  <c:v>84.18</c:v>
                </c:pt>
              </c:numCache>
            </c:numRef>
          </c:val>
        </c:ser>
        <c:ser>
          <c:idx val="1"/>
          <c:order val="1"/>
          <c:tx>
            <c:strRef>
              <c:f>'2026月度績效比較'!$M$1</c:f>
              <c:strCache>
                <c:ptCount val="1"/>
                <c:pt idx="0">
                  <c:v>0050累積報酬%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cat>
            <c:strRef>
              <c:f>'2026月度績效比較'!$A$2:$A$9</c:f>
              <c:strCache>
                <c:ptCount val="8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</c:strCache>
            </c:strRef>
          </c:cat>
          <c:val>
            <c:numRef>
              <c:f>'2026月度績效比較'!$M$2:$M$9</c:f>
              <c:numCache>
                <c:formatCode>0.00</c:formatCode>
                <c:ptCount val="8"/>
                <c:pt idx="0">
                  <c:v>9.74</c:v>
                </c:pt>
                <c:pt idx="1">
                  <c:v>11.16</c:v>
                </c:pt>
                <c:pt idx="2">
                  <c:v>14.78</c:v>
                </c:pt>
                <c:pt idx="3">
                  <c:v>38</c:v>
                </c:pt>
                <c:pt idx="4">
                  <c:v>42.2</c:v>
                </c:pt>
                <c:pt idx="5">
                  <c:v>50.67</c:v>
                </c:pt>
                <c:pt idx="6">
                  <c:v>48.18</c:v>
                </c:pt>
                <c:pt idx="7">
                  <c:v>52.57</c:v>
                </c:pt>
              </c:numCache>
            </c:numRef>
          </c:val>
        </c:ser>
        <c:hiLowLines>
          <c:spPr>
            <a:ln w="0">
              <a:noFill/>
            </a:ln>
          </c:spPr>
        </c:hiLowLines>
        <c:marker val="1"/>
        <c:axId val="169700352"/>
        <c:axId val="169727104"/>
      </c:lineChart>
      <c:catAx>
        <c:axId val="169700352"/>
        <c:scaling>
          <c:orientation val="minMax"/>
        </c:scaling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月份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9727104"/>
        <c:crosses val="autoZero"/>
        <c:auto val="1"/>
        <c:lblAlgn val="ctr"/>
        <c:lblOffset val="100"/>
      </c:catAx>
      <c:valAx>
        <c:axId val="169727104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累積報酬率 (%)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0.00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97003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lang="en-US" sz="1000" b="0" strike="noStrike" spc="-1">
              <a:solidFill>
                <a:srgbClr val="000000"/>
              </a:solidFill>
              <a:latin typeface="Calibri"/>
            </a:defRPr>
          </a:pPr>
          <a:endParaRPr lang="zh-TW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135360</xdr:rowOff>
    </xdr:from>
    <xdr:to>
      <xdr:col>10</xdr:col>
      <xdr:colOff>7935</xdr:colOff>
      <xdr:row>31</xdr:row>
      <xdr:rowOff>105120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>
      <pane ySplit="1" topLeftCell="A2" activePane="bottomLeft" state="frozen"/>
      <selection pane="bottomLeft" activeCell="F6" sqref="F6:F9"/>
    </sheetView>
  </sheetViews>
  <sheetFormatPr defaultColWidth="8.7109375" defaultRowHeight="15"/>
  <cols>
    <col min="1" max="1" width="8" customWidth="1"/>
    <col min="2" max="2" width="13" customWidth="1"/>
    <col min="3" max="3" width="12" customWidth="1"/>
    <col min="4" max="4" width="13" customWidth="1"/>
    <col min="5" max="5" width="12" customWidth="1"/>
    <col min="6" max="6" width="11" customWidth="1"/>
    <col min="7" max="8" width="10" customWidth="1"/>
    <col min="9" max="9" width="18.7109375" customWidth="1"/>
    <col min="10" max="10" width="13" customWidth="1"/>
    <col min="11" max="11" width="12" customWidth="1"/>
    <col min="12" max="12" width="18.7109375" customWidth="1"/>
    <col min="13" max="13" width="13" customWidth="1"/>
    <col min="14" max="14" width="16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3" t="s">
        <v>12</v>
      </c>
      <c r="N1" s="2" t="s">
        <v>13</v>
      </c>
    </row>
    <row r="2" spans="1:14">
      <c r="A2" s="4" t="s">
        <v>14</v>
      </c>
      <c r="B2" s="4" t="s">
        <v>15</v>
      </c>
      <c r="C2" s="4" t="s">
        <v>16</v>
      </c>
      <c r="D2" s="4" t="s">
        <v>17</v>
      </c>
      <c r="E2" s="4" t="s">
        <v>17</v>
      </c>
      <c r="F2" s="5">
        <v>8.2899999999999991</v>
      </c>
      <c r="G2" s="5">
        <v>70.349999999999994</v>
      </c>
      <c r="H2" s="5">
        <v>77.2</v>
      </c>
      <c r="I2" s="5">
        <f t="shared" ref="I2:I9" si="0">ROUND((H2-G2)/G2*100,3)</f>
        <v>9.7370000000000001</v>
      </c>
      <c r="J2" s="6">
        <f>1*(1+F2/100)</f>
        <v>1.0829</v>
      </c>
      <c r="K2" s="6">
        <f>1*(1+I2/100)</f>
        <v>1.09737</v>
      </c>
      <c r="L2" s="5">
        <f t="shared" ref="L2:M9" si="1">ROUND((J2-1)*100,2)</f>
        <v>8.2899999999999991</v>
      </c>
      <c r="M2" s="5">
        <f t="shared" si="1"/>
        <v>9.74</v>
      </c>
      <c r="N2" s="5">
        <f t="shared" ref="N2:N9" si="2">ROUND(L2-M2,2)</f>
        <v>-1.45</v>
      </c>
    </row>
    <row r="3" spans="1:14">
      <c r="A3" s="4" t="s">
        <v>18</v>
      </c>
      <c r="B3" s="4" t="s">
        <v>17</v>
      </c>
      <c r="C3" s="4" t="s">
        <v>17</v>
      </c>
      <c r="D3" s="4" t="s">
        <v>19</v>
      </c>
      <c r="E3" s="4" t="s">
        <v>19</v>
      </c>
      <c r="F3" s="5">
        <v>1.52</v>
      </c>
      <c r="G3" s="5">
        <v>77.2</v>
      </c>
      <c r="H3" s="5">
        <v>78.2</v>
      </c>
      <c r="I3" s="5">
        <f t="shared" si="0"/>
        <v>1.2949999999999999</v>
      </c>
      <c r="J3" s="6">
        <f t="shared" ref="J3:J9" si="3">J2*(1+F3/100)</f>
        <v>1.0993600800000001</v>
      </c>
      <c r="K3" s="6">
        <f t="shared" ref="K3:K9" si="4">K2*(1+I3/100)</f>
        <v>1.1115809415</v>
      </c>
      <c r="L3" s="5">
        <f t="shared" si="1"/>
        <v>9.94</v>
      </c>
      <c r="M3" s="5">
        <f t="shared" si="1"/>
        <v>11.16</v>
      </c>
      <c r="N3" s="5">
        <f t="shared" si="2"/>
        <v>-1.22</v>
      </c>
    </row>
    <row r="4" spans="1:14">
      <c r="A4" s="4" t="s">
        <v>20</v>
      </c>
      <c r="B4" s="4" t="s">
        <v>19</v>
      </c>
      <c r="C4" s="4" t="s">
        <v>19</v>
      </c>
      <c r="D4" s="4" t="s">
        <v>21</v>
      </c>
      <c r="E4" s="4" t="s">
        <v>22</v>
      </c>
      <c r="F4" s="5">
        <v>18.22</v>
      </c>
      <c r="G4" s="5">
        <v>78.2</v>
      </c>
      <c r="H4" s="5">
        <v>80.75</v>
      </c>
      <c r="I4" s="5">
        <f t="shared" si="0"/>
        <v>3.2610000000000001</v>
      </c>
      <c r="J4" s="6">
        <f t="shared" si="3"/>
        <v>1.2996634865759999</v>
      </c>
      <c r="K4" s="6">
        <f t="shared" si="4"/>
        <v>1.147829596002315</v>
      </c>
      <c r="L4" s="5">
        <f t="shared" si="1"/>
        <v>29.97</v>
      </c>
      <c r="M4" s="5">
        <f t="shared" si="1"/>
        <v>14.78</v>
      </c>
      <c r="N4" s="5">
        <f t="shared" si="2"/>
        <v>15.19</v>
      </c>
    </row>
    <row r="5" spans="1:14">
      <c r="A5" s="4" t="s">
        <v>23</v>
      </c>
      <c r="B5" s="4" t="s">
        <v>21</v>
      </c>
      <c r="C5" s="4" t="s">
        <v>24</v>
      </c>
      <c r="D5" s="4" t="s">
        <v>25</v>
      </c>
      <c r="E5" s="4" t="s">
        <v>25</v>
      </c>
      <c r="F5" s="5">
        <v>24.32</v>
      </c>
      <c r="G5" s="5">
        <v>80.599999999999994</v>
      </c>
      <c r="H5" s="5">
        <v>96.9</v>
      </c>
      <c r="I5" s="5">
        <f t="shared" si="0"/>
        <v>20.222999999999999</v>
      </c>
      <c r="J5" s="6">
        <f t="shared" si="3"/>
        <v>1.6157416465112833</v>
      </c>
      <c r="K5" s="6">
        <f t="shared" si="4"/>
        <v>1.3799551752018631</v>
      </c>
      <c r="L5" s="5">
        <f t="shared" si="1"/>
        <v>61.57</v>
      </c>
      <c r="M5" s="5">
        <f t="shared" si="1"/>
        <v>38</v>
      </c>
      <c r="N5" s="5">
        <f t="shared" si="2"/>
        <v>23.57</v>
      </c>
    </row>
    <row r="6" spans="1:14">
      <c r="A6" s="4" t="s">
        <v>26</v>
      </c>
      <c r="B6" s="4" t="s">
        <v>25</v>
      </c>
      <c r="C6" s="4" t="s">
        <v>25</v>
      </c>
      <c r="D6" s="4" t="s">
        <v>27</v>
      </c>
      <c r="E6" s="4" t="s">
        <v>27</v>
      </c>
      <c r="F6" s="5">
        <v>-6.46</v>
      </c>
      <c r="G6" s="5">
        <v>96.9</v>
      </c>
      <c r="H6" s="5">
        <v>99.85</v>
      </c>
      <c r="I6" s="5">
        <f t="shared" si="0"/>
        <v>3.044</v>
      </c>
      <c r="J6" s="6">
        <f t="shared" si="3"/>
        <v>1.5113647361466545</v>
      </c>
      <c r="K6" s="6">
        <f t="shared" si="4"/>
        <v>1.4219610107350078</v>
      </c>
      <c r="L6" s="5">
        <f t="shared" si="1"/>
        <v>51.14</v>
      </c>
      <c r="M6" s="5">
        <f t="shared" si="1"/>
        <v>42.2</v>
      </c>
      <c r="N6" s="5">
        <f t="shared" si="2"/>
        <v>8.94</v>
      </c>
    </row>
    <row r="7" spans="1:14">
      <c r="A7" s="4" t="s">
        <v>28</v>
      </c>
      <c r="B7" s="4" t="s">
        <v>27</v>
      </c>
      <c r="C7" s="4" t="s">
        <v>27</v>
      </c>
      <c r="D7" s="4" t="s">
        <v>29</v>
      </c>
      <c r="E7" s="4" t="s">
        <v>30</v>
      </c>
      <c r="F7" s="5">
        <v>23.81</v>
      </c>
      <c r="G7" s="5">
        <v>99.85</v>
      </c>
      <c r="H7" s="5">
        <v>105.8</v>
      </c>
      <c r="I7" s="5">
        <f t="shared" si="0"/>
        <v>5.9589999999999996</v>
      </c>
      <c r="J7" s="6">
        <f t="shared" si="3"/>
        <v>1.8712206798231728</v>
      </c>
      <c r="K7" s="6">
        <f t="shared" si="4"/>
        <v>1.5066956673647069</v>
      </c>
      <c r="L7" s="5">
        <f t="shared" si="1"/>
        <v>87.12</v>
      </c>
      <c r="M7" s="5">
        <f t="shared" si="1"/>
        <v>50.67</v>
      </c>
      <c r="N7" s="5">
        <f t="shared" si="2"/>
        <v>36.450000000000003</v>
      </c>
    </row>
    <row r="8" spans="1:14">
      <c r="A8" s="4" t="s">
        <v>31</v>
      </c>
      <c r="B8" s="4" t="s">
        <v>29</v>
      </c>
      <c r="C8" s="4" t="s">
        <v>32</v>
      </c>
      <c r="D8" s="4" t="s">
        <v>33</v>
      </c>
      <c r="E8" s="4" t="s">
        <v>34</v>
      </c>
      <c r="F8" s="5">
        <v>-4.42</v>
      </c>
      <c r="G8" s="5">
        <v>106</v>
      </c>
      <c r="H8" s="5">
        <v>104.25</v>
      </c>
      <c r="I8" s="5">
        <f t="shared" si="0"/>
        <v>-1.651</v>
      </c>
      <c r="J8" s="6">
        <f t="shared" si="3"/>
        <v>1.7885127257749884</v>
      </c>
      <c r="K8" s="6">
        <f t="shared" si="4"/>
        <v>1.4818201218965157</v>
      </c>
      <c r="L8" s="5">
        <f t="shared" si="1"/>
        <v>78.849999999999994</v>
      </c>
      <c r="M8" s="5">
        <f t="shared" si="1"/>
        <v>48.18</v>
      </c>
      <c r="N8" s="5">
        <f t="shared" si="2"/>
        <v>30.67</v>
      </c>
    </row>
    <row r="9" spans="1:14">
      <c r="A9" s="4" t="s">
        <v>35</v>
      </c>
      <c r="B9" s="4" t="s">
        <v>33</v>
      </c>
      <c r="C9" s="4" t="s">
        <v>33</v>
      </c>
      <c r="D9" s="4" t="s">
        <v>36</v>
      </c>
      <c r="E9" s="4" t="s">
        <v>36</v>
      </c>
      <c r="F9" s="5">
        <v>2.98</v>
      </c>
      <c r="G9" s="5">
        <v>104.6</v>
      </c>
      <c r="H9" s="5">
        <v>107.7</v>
      </c>
      <c r="I9" s="5">
        <f t="shared" si="0"/>
        <v>2.964</v>
      </c>
      <c r="J9" s="6">
        <f t="shared" si="3"/>
        <v>1.8418104050030832</v>
      </c>
      <c r="K9" s="6">
        <f t="shared" si="4"/>
        <v>1.5257412703095286</v>
      </c>
      <c r="L9" s="5">
        <f t="shared" si="1"/>
        <v>84.18</v>
      </c>
      <c r="M9" s="5">
        <f t="shared" si="1"/>
        <v>52.57</v>
      </c>
      <c r="N9" s="5">
        <f t="shared" si="2"/>
        <v>31.61</v>
      </c>
    </row>
    <row r="11" spans="1:14">
      <c r="A11" s="1" t="s">
        <v>37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</sheetData>
  <mergeCells count="1">
    <mergeCell ref="A11:N11"/>
  </mergeCells>
  <phoneticPr fontId="9" type="noConversion"/>
  <pageMargins left="0.75" right="0.75" top="1" bottom="1" header="0.511811023622047" footer="0.511811023622047"/>
  <pageSetup paperSize="9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2026月度績效比較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Bandai</cp:lastModifiedBy>
  <cp:revision>1</cp:revision>
  <dcterms:created xsi:type="dcterms:W3CDTF">2026-09-14T01:54:22Z</dcterms:created>
  <dcterms:modified xsi:type="dcterms:W3CDTF">2026-09-14T02:06:30Z</dcterms:modified>
  <dc:language>en-US</dc:language>
</cp:coreProperties>
</file>