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5"/>
    <sheet state="visible" name="一月份績效" sheetId="2" r:id="rId6"/>
    <sheet state="visible" name="二月份績效" sheetId="3" r:id="rId7"/>
    <sheet state="visible" name="三月份績效" sheetId="4" r:id="rId8"/>
    <sheet state="visible" name="四月份績效ˋ" sheetId="5" r:id="rId9"/>
    <sheet state="visible" name="五月份" sheetId="6" r:id="rId10"/>
    <sheet state="visible" name="六月分" sheetId="7" r:id="rId11"/>
    <sheet state="visible" name="七月份績效" sheetId="8" r:id="rId12"/>
    <sheet state="visible" name="八月份績效" sheetId="9" r:id="rId13"/>
  </sheets>
  <definedNames/>
  <calcPr/>
</workbook>
</file>

<file path=xl/sharedStrings.xml><?xml version="1.0" encoding="utf-8"?>
<sst xmlns="http://schemas.openxmlformats.org/spreadsheetml/2006/main" count="207" uniqueCount="115">
  <si>
    <t>機器人績效</t>
  </si>
  <si>
    <t>0050績效</t>
  </si>
  <si>
    <t>2368 金像電</t>
  </si>
  <si>
    <t>1714 和桐</t>
  </si>
  <si>
    <t>1773 勝一</t>
  </si>
  <si>
    <t>-</t>
  </si>
  <si>
    <t>2303 聯電</t>
  </si>
  <si>
    <t>2383 台光電</t>
  </si>
  <si>
    <t>2313 華通</t>
  </si>
  <si>
    <t>2006 東和鋼鐵</t>
  </si>
  <si>
    <t>2337 旺宏</t>
  </si>
  <si>
    <t>2467 志聖</t>
  </si>
  <si>
    <t>2324 仁寶</t>
  </si>
  <si>
    <t>2344 華邦電</t>
  </si>
  <si>
    <t>2395 研華</t>
  </si>
  <si>
    <t>2486 一詮</t>
  </si>
  <si>
    <t>2360 致茂</t>
  </si>
  <si>
    <t>2801 彰銀</t>
  </si>
  <si>
    <t>2426 鼎元</t>
  </si>
  <si>
    <t>2412 中華電</t>
  </si>
  <si>
    <t>2880 華南金</t>
  </si>
  <si>
    <t>2449 京元電子</t>
  </si>
  <si>
    <t>2458 義隆</t>
  </si>
  <si>
    <t>2883 開發金</t>
  </si>
  <si>
    <t>2451 創見</t>
  </si>
  <si>
    <t>2885 元大金</t>
  </si>
  <si>
    <t>2892 第一金</t>
  </si>
  <si>
    <t>2887 台新金</t>
  </si>
  <si>
    <t>2485 兆赫</t>
  </si>
  <si>
    <t>3006 晶豪科</t>
  </si>
  <si>
    <t>3443 創意</t>
  </si>
  <si>
    <t>2890 永豐金</t>
  </si>
  <si>
    <t>3030 德律</t>
  </si>
  <si>
    <t>3711 日月光投控</t>
  </si>
  <si>
    <t>6239 力成</t>
  </si>
  <si>
    <t>3380 明泰</t>
  </si>
  <si>
    <t>8021 尖點</t>
  </si>
  <si>
    <t>3017 奇鋐</t>
  </si>
  <si>
    <t>8110 華東</t>
  </si>
  <si>
    <t>3481 群創</t>
  </si>
  <si>
    <t>3209 全科</t>
  </si>
  <si>
    <t>8131 福懋科</t>
  </si>
  <si>
    <t>3535 晶彩科</t>
  </si>
  <si>
    <t>3324 雙鴻</t>
  </si>
  <si>
    <t>8150 南茂</t>
  </si>
  <si>
    <t>3533 嘉澤</t>
  </si>
  <si>
    <t>8996 高力</t>
  </si>
  <si>
    <t>3563 牧德</t>
  </si>
  <si>
    <t>3653 健策</t>
  </si>
  <si>
    <t xml:space="preserve">h </t>
  </si>
  <si>
    <t>3645 達邁</t>
  </si>
  <si>
    <t>4904 遠傳</t>
  </si>
  <si>
    <t>4977 眾達-KY</t>
  </si>
  <si>
    <t>3665 貿聯-KY</t>
  </si>
  <si>
    <t>5475 德宏</t>
  </si>
  <si>
    <t>4989 榮科</t>
  </si>
  <si>
    <t>6442 光聖</t>
  </si>
  <si>
    <t>6443 元晶</t>
  </si>
  <si>
    <t>6805 富世達</t>
  </si>
  <si>
    <t>8039 台虹</t>
  </si>
  <si>
    <t>累積績效</t>
  </si>
  <si>
    <t>1303 南亞</t>
  </si>
  <si>
    <t>1560 中砂</t>
  </si>
  <si>
    <t>2308 台達電</t>
  </si>
  <si>
    <t>1210 大成</t>
  </si>
  <si>
    <t>2455 全新</t>
  </si>
  <si>
    <t>1216 統一</t>
  </si>
  <si>
    <t>2059 川湖</t>
  </si>
  <si>
    <t>2472 立隆電</t>
  </si>
  <si>
    <t>2347 聯強</t>
  </si>
  <si>
    <t>2379 瑞昱</t>
  </si>
  <si>
    <t>2476 鉅祥</t>
  </si>
  <si>
    <t>2382 廣達</t>
  </si>
  <si>
    <t>2548 華固</t>
  </si>
  <si>
    <t>2413 環科</t>
  </si>
  <si>
    <t>2478 大毅</t>
  </si>
  <si>
    <t>2483 百容</t>
  </si>
  <si>
    <t>2493 揚博</t>
  </si>
  <si>
    <t>2812 台中銀</t>
  </si>
  <si>
    <t>2597 潤弘</t>
  </si>
  <si>
    <t>2834 臺企銀</t>
  </si>
  <si>
    <t>2891 中信金</t>
  </si>
  <si>
    <t>2881 富邦金</t>
  </si>
  <si>
    <t>2882 國泰金</t>
  </si>
  <si>
    <t>3023 信邦</t>
  </si>
  <si>
    <t>3062 建漢</t>
  </si>
  <si>
    <t>3105 穩懋</t>
  </si>
  <si>
    <t>3163 波若威</t>
  </si>
  <si>
    <t>3221 台嘉碩</t>
  </si>
  <si>
    <t>3260 威剛</t>
  </si>
  <si>
    <t>3265 台星科</t>
  </si>
  <si>
    <t>1708 東鹼</t>
  </si>
  <si>
    <t>1718 中纖</t>
  </si>
  <si>
    <t>2393 億光</t>
  </si>
  <si>
    <t>2484 希華</t>
  </si>
  <si>
    <t>2634 漢翔</t>
  </si>
  <si>
    <t>2645 長榮航太</t>
  </si>
  <si>
    <t>2887 台新新光金</t>
  </si>
  <si>
    <t>3004 豐達科</t>
  </si>
  <si>
    <t>3413 京鼎</t>
  </si>
  <si>
    <t>3532 台勝科</t>
  </si>
  <si>
    <t>3605 宏致</t>
  </si>
  <si>
    <t>5880 合庫金</t>
  </si>
  <si>
    <t>6226 光鼎</t>
  </si>
  <si>
    <t>6414 樺漢</t>
  </si>
  <si>
    <t>1709 和益</t>
  </si>
  <si>
    <t>2027 大成鋼</t>
  </si>
  <si>
    <t>2357 華碩</t>
  </si>
  <si>
    <t>2377 微星</t>
  </si>
  <si>
    <t>2425 承啟</t>
  </si>
  <si>
    <t>2542 興富發</t>
  </si>
  <si>
    <t>2618 長榮航</t>
  </si>
  <si>
    <t>2637 慧洋-KY</t>
  </si>
  <si>
    <t>2886 兆豐金</t>
  </si>
  <si>
    <t>3022 威強電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</si>
</sst>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"/>
    <numFmt numFmtId="165" formatCode="yyyy-mm-dd"/>
    <numFmt numFmtId="166" formatCode="yyyy/m"/>
    <numFmt numFmtId="167" formatCode="yyyy/mm/dd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50505"/>
      <name val="Arial"/>
    </font>
    <font>
      <sz val="12.0"/>
      <color rgb="FF000000"/>
      <name val="Arial"/>
    </font>
    <font>
      <sz val="12.0"/>
      <color rgb="FF40404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2" fontId="4" numFmtId="0" xfId="0" applyAlignment="1" applyFill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7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180975</xdr:rowOff>
    </xdr:from>
    <xdr:ext cx="4876800" cy="392430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771525</xdr:colOff>
      <xdr:row>0</xdr:row>
      <xdr:rowOff>190500</xdr:rowOff>
    </xdr:from>
    <xdr:ext cx="4876800" cy="3305175"/>
    <xdr:pic>
      <xdr:nvPicPr>
        <xdr:cNvPr id="0" name="image6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0</xdr:row>
      <xdr:rowOff>123825</xdr:rowOff>
    </xdr:from>
    <xdr:ext cx="4876800" cy="4086225"/>
    <xdr:pic>
      <xdr:nvPicPr>
        <xdr:cNvPr id="0" name="image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628650</xdr:colOff>
      <xdr:row>0</xdr:row>
      <xdr:rowOff>47625</xdr:rowOff>
    </xdr:from>
    <xdr:ext cx="4876800" cy="3343275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4876800" cy="2181225"/>
    <xdr:pic>
      <xdr:nvPicPr>
        <xdr:cNvPr id="0" name="image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85725</xdr:rowOff>
    </xdr:from>
    <xdr:ext cx="4876800" cy="336232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561975</xdr:colOff>
      <xdr:row>0</xdr:row>
      <xdr:rowOff>142875</xdr:rowOff>
    </xdr:from>
    <xdr:ext cx="2867025" cy="3286125"/>
    <xdr:pic>
      <xdr:nvPicPr>
        <xdr:cNvPr id="0" name="image4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</row>
    <row r="2">
      <c r="A2" s="3">
        <v>44927.0</v>
      </c>
      <c r="B2" s="4">
        <v>5.6</v>
      </c>
      <c r="C2" s="4">
        <v>3.0</v>
      </c>
      <c r="D2" s="1"/>
      <c r="E2" s="1"/>
      <c r="F2" s="1"/>
      <c r="G2" s="1"/>
      <c r="H2" s="1"/>
      <c r="I2" s="1"/>
    </row>
    <row r="3">
      <c r="A3" s="3">
        <v>44958.0</v>
      </c>
      <c r="B3" s="4">
        <v>0.5</v>
      </c>
      <c r="C3" s="4">
        <v>-3.2</v>
      </c>
      <c r="D3" s="1"/>
      <c r="E3" s="1"/>
      <c r="F3" s="1"/>
      <c r="G3" s="1"/>
      <c r="H3" s="1"/>
      <c r="I3" s="1"/>
    </row>
    <row r="4">
      <c r="A4" s="3">
        <v>44986.0</v>
      </c>
      <c r="B4" s="4">
        <v>3.2</v>
      </c>
      <c r="C4" s="4">
        <v>1.6</v>
      </c>
      <c r="D4" s="1"/>
      <c r="E4" s="1"/>
      <c r="F4" s="1"/>
      <c r="G4" s="1"/>
      <c r="H4" s="1"/>
      <c r="I4" s="1"/>
    </row>
    <row r="5">
      <c r="A5" s="3">
        <v>45017.0</v>
      </c>
      <c r="B5" s="4">
        <v>4.5</v>
      </c>
      <c r="C5" s="4">
        <v>3.0</v>
      </c>
      <c r="D5" s="1"/>
      <c r="E5" s="1"/>
      <c r="F5" s="1"/>
      <c r="G5" s="1"/>
      <c r="H5" s="1"/>
      <c r="I5" s="1"/>
    </row>
    <row r="6">
      <c r="A6" s="3">
        <v>45047.0</v>
      </c>
      <c r="B6" s="4">
        <v>10.2</v>
      </c>
      <c r="C6" s="4">
        <v>9.92</v>
      </c>
      <c r="D6" s="1"/>
      <c r="E6" s="1"/>
      <c r="F6" s="1"/>
      <c r="G6" s="1"/>
      <c r="H6" s="1"/>
      <c r="I6" s="1"/>
    </row>
    <row r="7">
      <c r="A7" s="3">
        <v>45078.0</v>
      </c>
      <c r="B7" s="4">
        <v>1.03</v>
      </c>
      <c r="C7" s="4">
        <v>-2.0</v>
      </c>
      <c r="D7" s="2"/>
      <c r="E7" s="2"/>
      <c r="F7" s="1"/>
      <c r="G7" s="1"/>
      <c r="H7" s="1"/>
      <c r="I7" s="1"/>
    </row>
    <row r="8">
      <c r="A8" s="3">
        <v>45108.0</v>
      </c>
      <c r="B8" s="4">
        <v>-3.1</v>
      </c>
      <c r="C8" s="8">
        <v>-4.6</v>
      </c>
      <c r="D8" s="1"/>
      <c r="E8" s="1"/>
      <c r="F8" s="1"/>
      <c r="G8" s="1"/>
      <c r="H8" s="1"/>
      <c r="I8" s="1"/>
    </row>
    <row r="9">
      <c r="A9" s="3">
        <v>45139.0</v>
      </c>
      <c r="B9" s="4">
        <v>-0.3</v>
      </c>
      <c r="C9" s="4">
        <v>-1.2</v>
      </c>
      <c r="D9" s="1"/>
      <c r="E9" s="1"/>
      <c r="F9" s="1"/>
      <c r="G9" s="1"/>
      <c r="H9" s="1"/>
      <c r="I9" s="1"/>
    </row>
    <row r="10">
      <c r="A10" s="3">
        <v>45170.0</v>
      </c>
      <c r="B10" s="4">
        <v>-1.6</v>
      </c>
      <c r="C10" s="4">
        <v>-0.3</v>
      </c>
      <c r="D10" s="1"/>
      <c r="E10" s="1"/>
      <c r="F10" s="1"/>
      <c r="G10" s="1"/>
      <c r="H10" s="1"/>
      <c r="I10" s="1"/>
    </row>
    <row r="11">
      <c r="A11" s="3">
        <v>45200.0</v>
      </c>
      <c r="B11" s="4">
        <v>1.2</v>
      </c>
      <c r="C11" s="4">
        <v>0.2</v>
      </c>
      <c r="D11" s="1"/>
      <c r="E11" s="1"/>
      <c r="F11" s="1"/>
      <c r="G11" s="1"/>
      <c r="H11" s="1"/>
      <c r="I11" s="1"/>
    </row>
    <row r="12">
      <c r="A12" s="3">
        <v>45231.0</v>
      </c>
      <c r="B12" s="4">
        <v>2.1</v>
      </c>
      <c r="C12" s="4">
        <v>1.0</v>
      </c>
      <c r="D12" s="1"/>
      <c r="E12" s="1"/>
      <c r="F12" s="1"/>
      <c r="G12" s="1"/>
      <c r="H12" s="1"/>
      <c r="I12" s="1"/>
    </row>
    <row r="13">
      <c r="A13" s="3">
        <v>45261.0</v>
      </c>
      <c r="B13" s="4">
        <v>1.35</v>
      </c>
      <c r="C13" s="4">
        <v>0.4</v>
      </c>
      <c r="D13" s="1"/>
      <c r="E13" s="1"/>
      <c r="F13" s="1"/>
      <c r="G13" s="1"/>
      <c r="H13" s="1"/>
      <c r="I13" s="1"/>
    </row>
    <row r="14">
      <c r="A14" s="3">
        <v>45292.0</v>
      </c>
      <c r="B14" s="4">
        <v>6.7</v>
      </c>
      <c r="C14" s="4">
        <v>3.3</v>
      </c>
      <c r="D14" s="1"/>
      <c r="E14" s="1"/>
      <c r="F14" s="1"/>
      <c r="G14" s="9"/>
      <c r="H14" s="1"/>
      <c r="I14" s="1"/>
    </row>
    <row r="15">
      <c r="A15" s="3">
        <v>45323.0</v>
      </c>
      <c r="B15" s="4">
        <v>9.7</v>
      </c>
      <c r="C15" s="4">
        <f t="shared" ref="C15:C19" si="1">((E15-D15)/D15)*100</f>
        <v>7.411310151</v>
      </c>
      <c r="D15" s="4">
        <v>142.35</v>
      </c>
      <c r="E15" s="4">
        <v>152.9</v>
      </c>
      <c r="F15" s="1"/>
      <c r="G15" s="9"/>
      <c r="H15" s="1"/>
      <c r="I15" s="1"/>
    </row>
    <row r="16">
      <c r="A16" s="3">
        <v>45352.0</v>
      </c>
      <c r="B16" s="4">
        <v>11.93</v>
      </c>
      <c r="C16" s="4">
        <f t="shared" si="1"/>
        <v>6.605624591</v>
      </c>
      <c r="D16" s="4">
        <v>152.9</v>
      </c>
      <c r="E16" s="4">
        <v>163.0</v>
      </c>
      <c r="F16" s="1"/>
      <c r="G16" s="9"/>
      <c r="H16" s="1"/>
      <c r="I16" s="1"/>
    </row>
    <row r="17">
      <c r="A17" s="3">
        <v>45383.0</v>
      </c>
      <c r="B17" s="4">
        <v>8.08</v>
      </c>
      <c r="C17" s="4">
        <f t="shared" si="1"/>
        <v>0.1840490798</v>
      </c>
      <c r="D17" s="4">
        <v>163.0</v>
      </c>
      <c r="E17" s="4">
        <v>163.3</v>
      </c>
      <c r="F17" s="1"/>
      <c r="G17" s="9"/>
      <c r="H17" s="1"/>
      <c r="I17" s="1"/>
    </row>
    <row r="18">
      <c r="A18" s="3">
        <v>45413.0</v>
      </c>
      <c r="B18" s="4">
        <v>7.27</v>
      </c>
      <c r="C18" s="4">
        <f t="shared" si="1"/>
        <v>5.939987753</v>
      </c>
      <c r="D18" s="4">
        <v>163.3</v>
      </c>
      <c r="E18" s="4">
        <v>173.0</v>
      </c>
      <c r="F18" s="1"/>
      <c r="G18" s="9"/>
      <c r="H18" s="1" t="s">
        <v>49</v>
      </c>
      <c r="I18" s="1"/>
    </row>
    <row r="19">
      <c r="A19" s="3">
        <v>45444.0</v>
      </c>
      <c r="B19" s="4">
        <v>15.53</v>
      </c>
      <c r="C19" s="4">
        <f t="shared" si="1"/>
        <v>14.65317919</v>
      </c>
      <c r="D19" s="4">
        <v>173.0</v>
      </c>
      <c r="E19" s="10">
        <v>198.35</v>
      </c>
      <c r="F19" s="1"/>
      <c r="G19" s="9"/>
      <c r="H19" s="1"/>
      <c r="I19" s="1"/>
    </row>
    <row r="20">
      <c r="A20" s="3">
        <v>45474.0</v>
      </c>
      <c r="B20" s="4">
        <v>3.37</v>
      </c>
      <c r="C20" s="4">
        <v>-14.5</v>
      </c>
      <c r="D20" s="1"/>
      <c r="E20" s="1"/>
      <c r="F20" s="1"/>
      <c r="G20" s="9"/>
      <c r="H20" s="1"/>
      <c r="I20" s="1"/>
    </row>
    <row r="21">
      <c r="A21" s="3">
        <v>45505.0</v>
      </c>
      <c r="B21" s="4">
        <v>8.0</v>
      </c>
      <c r="C21" s="4">
        <f t="shared" ref="C21:C22" si="2">((E21-D21)/D21)*100</f>
        <v>-3.201347936</v>
      </c>
      <c r="D21" s="4">
        <v>178.05</v>
      </c>
      <c r="E21" s="1">
        <v>172.35</v>
      </c>
      <c r="F21" s="1"/>
      <c r="G21" s="9"/>
      <c r="H21" s="1"/>
      <c r="I21" s="1"/>
    </row>
    <row r="22">
      <c r="A22" s="3">
        <v>45536.0</v>
      </c>
      <c r="B22" s="4">
        <v>-0.5</v>
      </c>
      <c r="C22" s="4">
        <f t="shared" si="2"/>
        <v>9.805628082</v>
      </c>
      <c r="D22" s="1">
        <v>172.35</v>
      </c>
      <c r="E22" s="4">
        <v>189.25</v>
      </c>
      <c r="F22" s="1"/>
      <c r="G22" s="9"/>
      <c r="H22" s="1" t="s">
        <v>60</v>
      </c>
      <c r="I22" s="1"/>
    </row>
    <row r="23">
      <c r="A23" s="3">
        <v>45566.0</v>
      </c>
      <c r="B23" s="4">
        <v>2.78</v>
      </c>
      <c r="C23" s="4">
        <v>3.5</v>
      </c>
      <c r="D23" s="1"/>
      <c r="E23" s="1"/>
      <c r="F23" s="1"/>
      <c r="G23" s="9"/>
      <c r="H23" s="2" t="s">
        <v>0</v>
      </c>
      <c r="I23" s="1" t="s">
        <v>1</v>
      </c>
    </row>
    <row r="24">
      <c r="A24" s="3">
        <v>45597.0</v>
      </c>
      <c r="B24" s="4">
        <v>5.47</v>
      </c>
      <c r="C24" s="4">
        <f>((E24-D24)/D24)*100</f>
        <v>-3.114013059</v>
      </c>
      <c r="D24" s="4">
        <v>199.1</v>
      </c>
      <c r="E24" s="4">
        <v>192.9</v>
      </c>
      <c r="F24" s="1"/>
      <c r="G24" s="11"/>
      <c r="H24" s="1"/>
      <c r="I24" s="1"/>
    </row>
    <row r="25">
      <c r="A25" s="12">
        <v>45627.0</v>
      </c>
      <c r="B25" s="4">
        <v>3.4</v>
      </c>
      <c r="C25" s="4">
        <v>3.0</v>
      </c>
      <c r="D25" s="4">
        <v>192.9</v>
      </c>
      <c r="E25" s="4">
        <v>199.0</v>
      </c>
      <c r="F25" s="1"/>
      <c r="G25" s="12">
        <v>45627.0</v>
      </c>
      <c r="H25" s="4">
        <v>1.0</v>
      </c>
      <c r="I25" s="4">
        <v>1.0</v>
      </c>
    </row>
    <row r="26">
      <c r="A26" s="3">
        <v>45658.0</v>
      </c>
      <c r="B26" s="4">
        <v>5.8</v>
      </c>
      <c r="C26" s="4">
        <f>((E26-D26)/D26)*100</f>
        <v>-0.7537688442</v>
      </c>
      <c r="D26" s="4">
        <v>199.0</v>
      </c>
      <c r="E26" s="4">
        <v>197.5</v>
      </c>
      <c r="F26" s="1"/>
      <c r="G26" s="3">
        <v>45658.0</v>
      </c>
      <c r="H26" s="6">
        <v>1.0829</v>
      </c>
      <c r="I26" s="13">
        <v>1.073</v>
      </c>
    </row>
    <row r="27">
      <c r="A27" s="3">
        <v>45689.0</v>
      </c>
      <c r="B27" s="4">
        <v>-0.29</v>
      </c>
      <c r="C27" s="4">
        <v>-6.0</v>
      </c>
      <c r="D27" s="1"/>
      <c r="E27" s="1"/>
      <c r="F27" s="1"/>
      <c r="G27" s="3">
        <v>45689.0</v>
      </c>
      <c r="H27" s="4">
        <f t="shared" ref="H27:I27" si="3">H26*(1+B39/100)</f>
        <v>1.09936008</v>
      </c>
      <c r="I27" s="4">
        <f t="shared" si="3"/>
        <v>1.046175</v>
      </c>
    </row>
    <row r="28">
      <c r="A28" s="3">
        <v>45717.0</v>
      </c>
      <c r="B28" s="4">
        <v>-8.4</v>
      </c>
      <c r="C28" s="4">
        <v>-10.5</v>
      </c>
      <c r="D28" s="4">
        <v>181.0</v>
      </c>
      <c r="E28" s="4">
        <v>161.9</v>
      </c>
      <c r="F28" s="1"/>
      <c r="G28" s="3">
        <v>45717.0</v>
      </c>
      <c r="H28" s="4">
        <f t="shared" ref="H28:I28" si="4">H27*(1+B40/100)</f>
        <v>1.299663487</v>
      </c>
      <c r="I28" s="4">
        <f t="shared" si="4"/>
        <v>1.0796526</v>
      </c>
    </row>
    <row r="29">
      <c r="A29" s="3">
        <v>45748.0</v>
      </c>
      <c r="B29" s="4">
        <v>3.84</v>
      </c>
      <c r="C29" s="4">
        <v>6.2</v>
      </c>
      <c r="D29" s="4">
        <v>164.55</v>
      </c>
      <c r="E29" s="4">
        <v>174.75</v>
      </c>
      <c r="F29" s="1"/>
      <c r="G29" s="3">
        <v>45748.0</v>
      </c>
      <c r="H29" s="4">
        <f t="shared" ref="H29:H30" si="5">H28*(1+B41/100)</f>
        <v>1.615741647</v>
      </c>
      <c r="I29" s="13">
        <v>1.4</v>
      </c>
    </row>
    <row r="30">
      <c r="A30" s="3">
        <v>45778.0</v>
      </c>
      <c r="B30" s="4">
        <v>15.24</v>
      </c>
      <c r="C30" s="4">
        <f>((E30-D30)/D30)*100</f>
        <v>6.745133545</v>
      </c>
      <c r="D30" s="4">
        <v>44.18</v>
      </c>
      <c r="E30" s="4">
        <v>47.16</v>
      </c>
      <c r="F30" s="1"/>
      <c r="G30" s="3">
        <v>45778.0</v>
      </c>
      <c r="H30" s="4">
        <f t="shared" si="5"/>
        <v>1.511364736</v>
      </c>
      <c r="I30" s="13">
        <v>1.5</v>
      </c>
    </row>
    <row r="31">
      <c r="A31" s="3">
        <v>45809.0</v>
      </c>
      <c r="B31" s="4">
        <v>6.0</v>
      </c>
      <c r="C31" s="14">
        <v>3.8</v>
      </c>
      <c r="D31" s="1"/>
      <c r="E31" s="1"/>
      <c r="F31" s="1"/>
      <c r="G31" s="3">
        <v>45809.0</v>
      </c>
      <c r="H31" s="4"/>
      <c r="I31" s="4"/>
    </row>
    <row r="32">
      <c r="A32" s="3">
        <v>45839.0</v>
      </c>
      <c r="B32" s="4">
        <v>16.54</v>
      </c>
      <c r="C32" s="4">
        <v>5.7</v>
      </c>
      <c r="D32" s="1"/>
      <c r="E32" s="1"/>
      <c r="F32" s="1"/>
      <c r="G32" s="3">
        <v>45839.0</v>
      </c>
      <c r="H32" s="4"/>
      <c r="I32" s="4"/>
    </row>
    <row r="33">
      <c r="A33" s="3">
        <v>45870.0</v>
      </c>
      <c r="B33" s="4">
        <v>12.96</v>
      </c>
      <c r="C33" s="4">
        <v>3.9</v>
      </c>
      <c r="D33" s="1"/>
      <c r="E33" s="1"/>
      <c r="F33" s="1"/>
      <c r="G33" s="3">
        <v>45870.0</v>
      </c>
      <c r="H33" s="4"/>
      <c r="I33" s="4"/>
    </row>
    <row r="34">
      <c r="A34" s="3">
        <v>45901.0</v>
      </c>
      <c r="B34" s="4">
        <v>4.5</v>
      </c>
      <c r="C34" s="4">
        <v>10.0</v>
      </c>
      <c r="D34" s="1"/>
      <c r="E34" s="1"/>
      <c r="F34" s="1"/>
      <c r="G34" s="3">
        <v>45901.0</v>
      </c>
      <c r="H34" s="4"/>
      <c r="I34" s="4"/>
    </row>
    <row r="35">
      <c r="A35" s="12">
        <v>45931.0</v>
      </c>
      <c r="B35" s="4">
        <v>17.84</v>
      </c>
      <c r="C35" s="4">
        <v>3.0</v>
      </c>
      <c r="D35" s="1"/>
      <c r="E35" s="1"/>
      <c r="F35" s="1"/>
      <c r="G35" s="12">
        <v>45931.0</v>
      </c>
      <c r="H35" s="4"/>
      <c r="I35" s="4"/>
    </row>
    <row r="36">
      <c r="A36" s="12">
        <v>45962.0</v>
      </c>
      <c r="B36" s="4">
        <v>2.37</v>
      </c>
      <c r="C36" s="4">
        <v>1.8</v>
      </c>
      <c r="D36" s="1"/>
      <c r="E36" s="1"/>
      <c r="F36" s="1"/>
      <c r="G36" s="12">
        <v>45962.0</v>
      </c>
      <c r="H36" s="4"/>
      <c r="I36" s="4"/>
    </row>
    <row r="37">
      <c r="A37" s="12">
        <v>45992.0</v>
      </c>
      <c r="B37" s="4">
        <v>11.2</v>
      </c>
      <c r="C37" s="4">
        <v>9.0</v>
      </c>
      <c r="D37" s="1"/>
      <c r="E37" s="1"/>
      <c r="F37" s="1"/>
      <c r="G37" s="12">
        <v>45992.0</v>
      </c>
      <c r="H37" s="4"/>
      <c r="I37" s="4"/>
    </row>
    <row r="38">
      <c r="A38" s="15">
        <v>46023.0</v>
      </c>
      <c r="B38" s="6">
        <v>8.29</v>
      </c>
      <c r="C38" s="6">
        <v>7.3</v>
      </c>
    </row>
    <row r="39">
      <c r="A39" s="15">
        <v>46054.0</v>
      </c>
      <c r="B39" s="6">
        <v>1.52</v>
      </c>
      <c r="C39" s="6">
        <v>-2.5</v>
      </c>
    </row>
    <row r="40">
      <c r="A40" s="15">
        <v>46082.0</v>
      </c>
      <c r="B40" s="6">
        <v>18.22</v>
      </c>
      <c r="C40" s="6">
        <v>3.2</v>
      </c>
    </row>
    <row r="41">
      <c r="A41" s="15">
        <v>46113.0</v>
      </c>
      <c r="B41" s="6">
        <v>24.32</v>
      </c>
      <c r="C41" s="6">
        <v>20.12</v>
      </c>
    </row>
    <row r="42">
      <c r="A42" s="15">
        <v>46143.0</v>
      </c>
      <c r="B42" s="6">
        <v>-6.46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</cols>
  <sheetData>
    <row r="1">
      <c r="A1" s="6">
        <v>1.0</v>
      </c>
      <c r="B1" s="5">
        <v>46064.0</v>
      </c>
      <c r="C1" s="6" t="s">
        <v>4</v>
      </c>
      <c r="D1" s="5">
        <v>46033.0</v>
      </c>
      <c r="E1" s="6">
        <v>162.0</v>
      </c>
      <c r="F1" s="5">
        <v>46064.0</v>
      </c>
      <c r="G1" s="6">
        <v>144.0</v>
      </c>
      <c r="H1" s="6">
        <v>-11.11</v>
      </c>
    </row>
    <row r="2">
      <c r="A2" s="6">
        <v>2.0</v>
      </c>
      <c r="B2" s="5">
        <v>46064.0</v>
      </c>
      <c r="C2" s="6" t="s">
        <v>6</v>
      </c>
      <c r="D2" s="5">
        <v>46033.0</v>
      </c>
      <c r="E2" s="6">
        <v>55.3</v>
      </c>
      <c r="F2" s="5">
        <v>46064.0</v>
      </c>
      <c r="G2" s="6">
        <v>63.0</v>
      </c>
      <c r="H2" s="6">
        <v>13.92</v>
      </c>
    </row>
    <row r="3">
      <c r="A3" s="6">
        <v>3.0</v>
      </c>
      <c r="B3" s="5">
        <v>46064.0</v>
      </c>
      <c r="C3" s="6" t="s">
        <v>8</v>
      </c>
      <c r="D3" s="5">
        <v>46033.0</v>
      </c>
      <c r="E3" s="6">
        <v>127.0</v>
      </c>
      <c r="F3" s="5">
        <v>46064.0</v>
      </c>
      <c r="G3" s="6">
        <v>178.5</v>
      </c>
      <c r="H3" s="6">
        <v>40.55</v>
      </c>
    </row>
    <row r="4">
      <c r="A4" s="6">
        <v>4.0</v>
      </c>
      <c r="B4" s="5">
        <v>46064.0</v>
      </c>
      <c r="C4" s="6" t="s">
        <v>10</v>
      </c>
      <c r="D4" s="5">
        <v>46033.0</v>
      </c>
      <c r="E4" s="6">
        <v>61.2</v>
      </c>
      <c r="F4" s="5">
        <v>46064.0</v>
      </c>
      <c r="G4" s="6">
        <v>93.5</v>
      </c>
      <c r="H4" s="6">
        <v>52.78</v>
      </c>
    </row>
    <row r="5">
      <c r="A5" s="6">
        <v>5.0</v>
      </c>
      <c r="B5" s="5">
        <v>46064.0</v>
      </c>
      <c r="C5" s="6" t="s">
        <v>13</v>
      </c>
      <c r="D5" s="5">
        <v>46033.0</v>
      </c>
      <c r="E5" s="6">
        <v>102.0</v>
      </c>
      <c r="F5" s="5">
        <v>46064.0</v>
      </c>
      <c r="G5" s="6">
        <v>106.0</v>
      </c>
      <c r="H5" s="6">
        <v>3.92</v>
      </c>
    </row>
    <row r="6">
      <c r="A6" s="6">
        <v>6.0</v>
      </c>
      <c r="B6" s="5">
        <v>46064.0</v>
      </c>
      <c r="C6" s="6" t="s">
        <v>16</v>
      </c>
      <c r="D6" s="5">
        <v>46033.0</v>
      </c>
      <c r="E6" s="6">
        <v>954.0</v>
      </c>
      <c r="F6" s="5">
        <v>46064.0</v>
      </c>
      <c r="G6" s="6">
        <v>1045.0</v>
      </c>
      <c r="H6" s="6">
        <v>9.54</v>
      </c>
    </row>
    <row r="7">
      <c r="A7" s="6">
        <v>7.0</v>
      </c>
      <c r="B7" s="5">
        <v>46064.0</v>
      </c>
      <c r="C7" s="6" t="s">
        <v>19</v>
      </c>
      <c r="D7" s="5">
        <v>46033.0</v>
      </c>
      <c r="E7" s="6">
        <v>133.5</v>
      </c>
      <c r="F7" s="5">
        <v>46064.0</v>
      </c>
      <c r="G7" s="6">
        <v>133.0</v>
      </c>
      <c r="H7" s="6">
        <v>-0.37</v>
      </c>
    </row>
    <row r="8">
      <c r="A8" s="6">
        <v>8.0</v>
      </c>
      <c r="B8" s="5">
        <v>46064.0</v>
      </c>
      <c r="C8" s="6" t="s">
        <v>21</v>
      </c>
      <c r="D8" s="5">
        <v>46033.0</v>
      </c>
      <c r="E8" s="6">
        <v>270.0</v>
      </c>
      <c r="F8" s="5">
        <v>46064.0</v>
      </c>
      <c r="G8" s="6">
        <v>302.0</v>
      </c>
      <c r="H8" s="6">
        <v>11.85</v>
      </c>
    </row>
    <row r="9">
      <c r="A9" s="6">
        <v>9.0</v>
      </c>
      <c r="B9" s="5">
        <v>46064.0</v>
      </c>
      <c r="C9" s="6" t="s">
        <v>24</v>
      </c>
      <c r="D9" s="5">
        <v>46033.0</v>
      </c>
      <c r="E9" s="6">
        <v>237.0</v>
      </c>
      <c r="F9" s="5">
        <v>46064.0</v>
      </c>
      <c r="G9" s="6">
        <v>213.5</v>
      </c>
      <c r="H9" s="6">
        <v>-9.92</v>
      </c>
    </row>
    <row r="10">
      <c r="A10" s="6">
        <v>10.0</v>
      </c>
      <c r="B10" s="5">
        <v>46064.0</v>
      </c>
      <c r="C10" s="6" t="s">
        <v>25</v>
      </c>
      <c r="D10" s="5">
        <v>46033.0</v>
      </c>
      <c r="E10" s="6">
        <v>40.5</v>
      </c>
      <c r="F10" s="5">
        <v>46064.0</v>
      </c>
      <c r="G10" s="6">
        <v>44.55</v>
      </c>
      <c r="H10" s="6">
        <v>10.0</v>
      </c>
    </row>
    <row r="11">
      <c r="A11" s="6">
        <v>11.0</v>
      </c>
      <c r="B11" s="5">
        <v>46064.0</v>
      </c>
      <c r="C11" s="6" t="s">
        <v>26</v>
      </c>
      <c r="D11" s="5">
        <v>46033.0</v>
      </c>
      <c r="E11" s="6">
        <v>29.4</v>
      </c>
      <c r="F11" s="5">
        <v>46064.0</v>
      </c>
      <c r="G11" s="6">
        <v>29.3</v>
      </c>
      <c r="H11" s="6">
        <v>-0.34</v>
      </c>
    </row>
    <row r="12">
      <c r="A12" s="6">
        <v>12.0</v>
      </c>
      <c r="B12" s="5">
        <v>46064.0</v>
      </c>
      <c r="C12" s="6" t="s">
        <v>29</v>
      </c>
      <c r="D12" s="5">
        <v>46033.0</v>
      </c>
      <c r="E12" s="6">
        <v>146.0</v>
      </c>
      <c r="F12" s="5">
        <v>46064.0</v>
      </c>
      <c r="G12" s="6">
        <v>154.5</v>
      </c>
      <c r="H12" s="6">
        <v>5.82</v>
      </c>
    </row>
    <row r="13">
      <c r="A13" s="6">
        <v>13.0</v>
      </c>
      <c r="B13" s="5">
        <v>46064.0</v>
      </c>
      <c r="C13" s="6" t="s">
        <v>30</v>
      </c>
      <c r="D13" s="5">
        <v>46033.0</v>
      </c>
      <c r="E13" s="6">
        <v>2435.0</v>
      </c>
      <c r="F13" s="5">
        <v>46064.0</v>
      </c>
      <c r="G13" s="6">
        <v>2475.0</v>
      </c>
      <c r="H13" s="6">
        <v>1.64</v>
      </c>
    </row>
    <row r="14">
      <c r="A14" s="6">
        <v>14.0</v>
      </c>
      <c r="B14" s="5">
        <v>46064.0</v>
      </c>
      <c r="C14" s="6" t="s">
        <v>33</v>
      </c>
      <c r="D14" s="5">
        <v>46033.0</v>
      </c>
      <c r="E14" s="6">
        <v>283.0</v>
      </c>
      <c r="F14" s="5">
        <v>46064.0</v>
      </c>
      <c r="G14" s="6">
        <v>347.5</v>
      </c>
      <c r="H14" s="6">
        <v>22.79</v>
      </c>
    </row>
    <row r="15">
      <c r="A15" s="6">
        <v>15.0</v>
      </c>
      <c r="B15" s="5">
        <v>46064.0</v>
      </c>
      <c r="C15" s="6" t="s">
        <v>34</v>
      </c>
      <c r="D15" s="5">
        <v>46033.0</v>
      </c>
      <c r="E15" s="6">
        <v>220.0</v>
      </c>
      <c r="F15" s="5">
        <v>46064.0</v>
      </c>
      <c r="G15" s="6">
        <v>241.5</v>
      </c>
      <c r="H15" s="6">
        <v>9.77</v>
      </c>
    </row>
    <row r="16">
      <c r="A16" s="6">
        <v>16.0</v>
      </c>
      <c r="B16" s="5">
        <v>46064.0</v>
      </c>
      <c r="C16" s="6" t="s">
        <v>36</v>
      </c>
      <c r="D16" s="5">
        <v>46033.0</v>
      </c>
      <c r="E16" s="6">
        <v>216.58</v>
      </c>
      <c r="F16" s="5">
        <v>46064.0</v>
      </c>
      <c r="G16" s="6">
        <v>199.0</v>
      </c>
      <c r="H16" s="6">
        <v>-8.12</v>
      </c>
    </row>
    <row r="17">
      <c r="A17" s="6">
        <v>17.0</v>
      </c>
      <c r="B17" s="5">
        <v>46064.0</v>
      </c>
      <c r="C17" s="6" t="s">
        <v>38</v>
      </c>
      <c r="D17" s="5">
        <v>46033.0</v>
      </c>
      <c r="E17" s="6">
        <v>74.8</v>
      </c>
      <c r="F17" s="5">
        <v>46064.0</v>
      </c>
      <c r="G17" s="6">
        <v>59.2</v>
      </c>
      <c r="H17" s="6">
        <v>-20.86</v>
      </c>
    </row>
    <row r="18">
      <c r="A18" s="6">
        <v>18.0</v>
      </c>
      <c r="B18" s="5">
        <v>46064.0</v>
      </c>
      <c r="C18" s="6" t="s">
        <v>41</v>
      </c>
      <c r="D18" s="5">
        <v>46033.0</v>
      </c>
      <c r="E18" s="6">
        <v>66.5</v>
      </c>
      <c r="F18" s="5">
        <v>46064.0</v>
      </c>
      <c r="G18" s="6">
        <v>68.7</v>
      </c>
      <c r="H18" s="6">
        <v>3.31</v>
      </c>
    </row>
    <row r="19">
      <c r="A19" s="6">
        <v>19.0</v>
      </c>
      <c r="B19" s="5">
        <v>46064.0</v>
      </c>
      <c r="C19" s="6" t="s">
        <v>44</v>
      </c>
      <c r="D19" s="5">
        <v>46033.0</v>
      </c>
      <c r="E19" s="6">
        <v>59.2</v>
      </c>
      <c r="F19" s="5">
        <v>46064.0</v>
      </c>
      <c r="G19" s="6">
        <v>53.3</v>
      </c>
      <c r="H19" s="6">
        <v>-9.97</v>
      </c>
    </row>
    <row r="20">
      <c r="A20" s="6">
        <v>20.0</v>
      </c>
      <c r="B20" s="5">
        <v>46064.0</v>
      </c>
      <c r="C20" s="6" t="s">
        <v>46</v>
      </c>
      <c r="D20" s="5">
        <v>46033.0</v>
      </c>
      <c r="E20" s="6">
        <v>698.0</v>
      </c>
      <c r="F20" s="5">
        <v>46064.0</v>
      </c>
      <c r="G20" s="6">
        <v>948.0</v>
      </c>
      <c r="H20" s="6">
        <v>35.82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46091.0</v>
      </c>
      <c r="B1" s="6" t="s">
        <v>2</v>
      </c>
      <c r="C1" s="5">
        <v>46064.0</v>
      </c>
      <c r="D1" s="6">
        <v>829.0</v>
      </c>
      <c r="E1" s="5">
        <v>46092.0</v>
      </c>
      <c r="F1" s="6">
        <v>817.0</v>
      </c>
      <c r="G1" s="6">
        <v>-1.45</v>
      </c>
      <c r="H1" s="6" t="s">
        <v>5</v>
      </c>
    </row>
    <row r="2">
      <c r="A2" s="5">
        <v>46091.0</v>
      </c>
      <c r="B2" s="6" t="s">
        <v>7</v>
      </c>
      <c r="C2" s="5">
        <v>46064.0</v>
      </c>
      <c r="D2" s="6">
        <v>2195.0</v>
      </c>
      <c r="E2" s="5">
        <v>46092.0</v>
      </c>
      <c r="F2" s="6">
        <v>2375.0</v>
      </c>
      <c r="G2" s="6">
        <v>8.2</v>
      </c>
      <c r="H2" s="7" t="str">
        <f>+</f>
        <v>#ERROR!</v>
      </c>
    </row>
    <row r="3">
      <c r="A3" s="5">
        <v>46091.0</v>
      </c>
      <c r="B3" s="6" t="s">
        <v>11</v>
      </c>
      <c r="C3" s="5">
        <v>46064.0</v>
      </c>
      <c r="D3" s="6">
        <v>273.0</v>
      </c>
      <c r="E3" s="5">
        <v>46092.0</v>
      </c>
      <c r="F3" s="6">
        <v>355.0</v>
      </c>
      <c r="G3" s="6">
        <v>30.04</v>
      </c>
      <c r="H3" s="7" t="str">
        <f>+</f>
        <v>#ERROR!</v>
      </c>
    </row>
    <row r="4">
      <c r="A4" s="5">
        <v>46091.0</v>
      </c>
      <c r="B4" s="6" t="s">
        <v>15</v>
      </c>
      <c r="C4" s="5">
        <v>46064.0</v>
      </c>
      <c r="D4" s="6">
        <v>152.0</v>
      </c>
      <c r="E4" s="5">
        <v>46092.0</v>
      </c>
      <c r="F4" s="6">
        <v>128.5</v>
      </c>
      <c r="G4" s="6">
        <v>-15.46</v>
      </c>
      <c r="H4" s="6" t="s">
        <v>5</v>
      </c>
    </row>
    <row r="5">
      <c r="A5" s="5">
        <v>46091.0</v>
      </c>
      <c r="B5" s="6" t="s">
        <v>17</v>
      </c>
      <c r="C5" s="5">
        <v>46064.0</v>
      </c>
      <c r="D5" s="6">
        <v>20.75</v>
      </c>
      <c r="E5" s="5">
        <v>46092.0</v>
      </c>
      <c r="F5" s="6">
        <v>20.45</v>
      </c>
      <c r="G5" s="6">
        <v>-1.45</v>
      </c>
      <c r="H5" s="6" t="s">
        <v>5</v>
      </c>
    </row>
    <row r="6">
      <c r="A6" s="5">
        <v>46091.0</v>
      </c>
      <c r="B6" s="6" t="s">
        <v>20</v>
      </c>
      <c r="C6" s="5">
        <v>46064.0</v>
      </c>
      <c r="D6" s="6">
        <v>34.6</v>
      </c>
      <c r="E6" s="5">
        <v>46092.0</v>
      </c>
      <c r="F6" s="6">
        <v>34.25</v>
      </c>
      <c r="G6" s="6">
        <v>-1.01</v>
      </c>
      <c r="H6" s="6" t="s">
        <v>5</v>
      </c>
    </row>
    <row r="7">
      <c r="A7" s="5">
        <v>46091.0</v>
      </c>
      <c r="B7" s="6" t="s">
        <v>23</v>
      </c>
      <c r="C7" s="5">
        <v>46064.0</v>
      </c>
      <c r="D7" s="6">
        <v>19.25</v>
      </c>
      <c r="E7" s="5">
        <v>46092.0</v>
      </c>
      <c r="F7" s="6">
        <v>19.9</v>
      </c>
      <c r="G7" s="6">
        <v>3.38</v>
      </c>
      <c r="H7" s="7" t="str">
        <f>+</f>
        <v>#ERROR!</v>
      </c>
    </row>
    <row r="8">
      <c r="A8" s="5">
        <v>46091.0</v>
      </c>
      <c r="B8" s="6" t="s">
        <v>25</v>
      </c>
      <c r="C8" s="5">
        <v>46064.0</v>
      </c>
      <c r="D8" s="6">
        <v>44.75</v>
      </c>
      <c r="E8" s="5">
        <v>46092.0</v>
      </c>
      <c r="F8" s="6">
        <v>43.85</v>
      </c>
      <c r="G8" s="6">
        <v>-2.01</v>
      </c>
      <c r="H8" s="6" t="s">
        <v>5</v>
      </c>
    </row>
    <row r="9">
      <c r="A9" s="5">
        <v>46091.0</v>
      </c>
      <c r="B9" s="6" t="s">
        <v>27</v>
      </c>
      <c r="C9" s="5">
        <v>46064.0</v>
      </c>
      <c r="D9" s="6">
        <v>24.0</v>
      </c>
      <c r="E9" s="5">
        <v>46092.0</v>
      </c>
      <c r="F9" s="6">
        <v>24.3</v>
      </c>
      <c r="G9" s="6">
        <v>1.25</v>
      </c>
      <c r="H9" s="7" t="str">
        <f>+</f>
        <v>#ERROR!</v>
      </c>
    </row>
    <row r="10">
      <c r="A10" s="5">
        <v>46091.0</v>
      </c>
      <c r="B10" s="6" t="s">
        <v>31</v>
      </c>
      <c r="C10" s="5">
        <v>46064.0</v>
      </c>
      <c r="D10" s="6">
        <v>31.1</v>
      </c>
      <c r="E10" s="5">
        <v>46092.0</v>
      </c>
      <c r="F10" s="6">
        <v>31.3</v>
      </c>
      <c r="G10" s="6">
        <v>0.64</v>
      </c>
      <c r="H10" s="7" t="str">
        <f>+</f>
        <v>#ERROR!</v>
      </c>
    </row>
    <row r="11">
      <c r="A11" s="5">
        <v>46091.0</v>
      </c>
      <c r="B11" s="6" t="s">
        <v>26</v>
      </c>
      <c r="C11" s="5">
        <v>46064.0</v>
      </c>
      <c r="D11" s="6">
        <v>29.45</v>
      </c>
      <c r="E11" s="5">
        <v>46092.0</v>
      </c>
      <c r="F11" s="6">
        <v>29.0</v>
      </c>
      <c r="G11" s="6">
        <v>-1.53</v>
      </c>
      <c r="H11" s="6" t="s">
        <v>5</v>
      </c>
    </row>
    <row r="12">
      <c r="A12" s="5">
        <v>46091.0</v>
      </c>
      <c r="B12" s="6" t="s">
        <v>37</v>
      </c>
      <c r="C12" s="5">
        <v>46064.0</v>
      </c>
      <c r="D12" s="6">
        <v>1605.0</v>
      </c>
      <c r="E12" s="5">
        <v>46092.0</v>
      </c>
      <c r="F12" s="6">
        <v>1695.0</v>
      </c>
      <c r="G12" s="6">
        <v>5.61</v>
      </c>
      <c r="H12" s="7" t="str">
        <f>+</f>
        <v>#ERROR!</v>
      </c>
    </row>
    <row r="13">
      <c r="A13" s="5">
        <v>46091.0</v>
      </c>
      <c r="B13" s="6" t="s">
        <v>40</v>
      </c>
      <c r="C13" s="5">
        <v>46064.0</v>
      </c>
      <c r="D13" s="6">
        <v>37.4</v>
      </c>
      <c r="E13" s="5">
        <v>46092.0</v>
      </c>
      <c r="F13" s="6">
        <v>34.95</v>
      </c>
      <c r="G13" s="6">
        <v>-6.55</v>
      </c>
      <c r="H13" s="6" t="s">
        <v>5</v>
      </c>
    </row>
    <row r="14">
      <c r="A14" s="5">
        <v>46091.0</v>
      </c>
      <c r="B14" s="6" t="s">
        <v>43</v>
      </c>
      <c r="C14" s="5">
        <v>46064.0</v>
      </c>
      <c r="D14" s="6">
        <v>1065.0</v>
      </c>
      <c r="E14" s="5">
        <v>46092.0</v>
      </c>
      <c r="F14" s="6">
        <v>938.0</v>
      </c>
      <c r="G14" s="6">
        <v>-11.92</v>
      </c>
      <c r="H14" s="6" t="s">
        <v>5</v>
      </c>
    </row>
    <row r="15">
      <c r="A15" s="5">
        <v>46091.0</v>
      </c>
      <c r="B15" s="6" t="s">
        <v>45</v>
      </c>
      <c r="C15" s="5">
        <v>46064.0</v>
      </c>
      <c r="D15" s="6">
        <v>1645.0</v>
      </c>
      <c r="E15" s="5">
        <v>46092.0</v>
      </c>
      <c r="F15" s="6">
        <v>1575.0</v>
      </c>
      <c r="G15" s="6">
        <v>-4.26</v>
      </c>
      <c r="H15" s="6" t="s">
        <v>5</v>
      </c>
    </row>
    <row r="16">
      <c r="A16" s="5">
        <v>46091.0</v>
      </c>
      <c r="B16" s="6" t="s">
        <v>48</v>
      </c>
      <c r="C16" s="5">
        <v>46064.0</v>
      </c>
      <c r="D16" s="6">
        <v>3205.0</v>
      </c>
      <c r="E16" s="5">
        <v>46092.0</v>
      </c>
      <c r="F16" s="6">
        <v>3495.0</v>
      </c>
      <c r="G16" s="6">
        <v>9.05</v>
      </c>
      <c r="H16" s="7" t="str">
        <f>+</f>
        <v>#ERROR!</v>
      </c>
    </row>
    <row r="17">
      <c r="A17" s="5">
        <v>46091.0</v>
      </c>
      <c r="B17" s="6" t="s">
        <v>51</v>
      </c>
      <c r="C17" s="5">
        <v>46064.0</v>
      </c>
      <c r="D17" s="6">
        <v>91.9</v>
      </c>
      <c r="E17" s="5">
        <v>46092.0</v>
      </c>
      <c r="F17" s="6">
        <v>90.9</v>
      </c>
      <c r="G17" s="6">
        <v>-1.09</v>
      </c>
      <c r="H17" s="6" t="s">
        <v>5</v>
      </c>
    </row>
    <row r="18">
      <c r="A18" s="5">
        <v>46091.0</v>
      </c>
      <c r="B18" s="6" t="s">
        <v>52</v>
      </c>
      <c r="C18" s="5">
        <v>46064.0</v>
      </c>
      <c r="D18" s="6">
        <v>125.5</v>
      </c>
      <c r="E18" s="5">
        <v>46092.0</v>
      </c>
      <c r="F18" s="6">
        <v>151.0</v>
      </c>
      <c r="G18" s="6">
        <v>20.32</v>
      </c>
      <c r="H18" s="7" t="str">
        <f>+</f>
        <v>#ERROR!</v>
      </c>
    </row>
    <row r="19">
      <c r="A19" s="5">
        <v>46091.0</v>
      </c>
      <c r="B19" s="6" t="s">
        <v>54</v>
      </c>
      <c r="C19" s="5">
        <v>46064.0</v>
      </c>
      <c r="D19" s="6">
        <v>163.0</v>
      </c>
      <c r="E19" s="5">
        <v>46092.0</v>
      </c>
      <c r="F19" s="6">
        <v>183.0</v>
      </c>
      <c r="G19" s="6">
        <v>12.27</v>
      </c>
      <c r="H19" s="7" t="str">
        <f>+</f>
        <v>#ERROR!</v>
      </c>
    </row>
    <row r="20">
      <c r="A20" s="5">
        <v>46091.0</v>
      </c>
      <c r="B20" s="6" t="s">
        <v>56</v>
      </c>
      <c r="C20" s="5">
        <v>46064.0</v>
      </c>
      <c r="D20" s="6">
        <v>1950.0</v>
      </c>
      <c r="E20" s="5">
        <v>46092.0</v>
      </c>
      <c r="F20" s="6">
        <v>1705.0</v>
      </c>
      <c r="G20" s="6">
        <v>-12.56</v>
      </c>
      <c r="H20" s="6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46123.0</v>
      </c>
      <c r="B1" s="6" t="s">
        <v>3</v>
      </c>
      <c r="C1" s="5">
        <v>46092.0</v>
      </c>
      <c r="D1" s="6">
        <v>9.88</v>
      </c>
      <c r="E1" s="5">
        <v>46123.0</v>
      </c>
      <c r="F1" s="6">
        <v>10.2</v>
      </c>
      <c r="G1" s="6">
        <v>3.24</v>
      </c>
      <c r="H1" s="7" t="str">
        <f>+</f>
        <v>#ERROR!</v>
      </c>
    </row>
    <row r="2">
      <c r="A2" s="5">
        <v>46123.0</v>
      </c>
      <c r="B2" s="6" t="s">
        <v>9</v>
      </c>
      <c r="C2" s="5">
        <v>46092.0</v>
      </c>
      <c r="D2" s="6">
        <v>83.4</v>
      </c>
      <c r="E2" s="5">
        <v>46123.0</v>
      </c>
      <c r="F2" s="6">
        <v>71.0</v>
      </c>
      <c r="G2" s="6">
        <v>-14.87</v>
      </c>
      <c r="H2" s="6" t="s">
        <v>5</v>
      </c>
    </row>
    <row r="3">
      <c r="A3" s="5">
        <v>46123.0</v>
      </c>
      <c r="B3" s="6" t="s">
        <v>12</v>
      </c>
      <c r="C3" s="5">
        <v>46092.0</v>
      </c>
      <c r="D3" s="6">
        <v>32.35</v>
      </c>
      <c r="E3" s="5">
        <v>46123.0</v>
      </c>
      <c r="F3" s="6">
        <v>28.2</v>
      </c>
      <c r="G3" s="6">
        <v>-12.83</v>
      </c>
      <c r="H3" s="6" t="s">
        <v>5</v>
      </c>
    </row>
    <row r="4">
      <c r="A4" s="5">
        <v>46123.0</v>
      </c>
      <c r="B4" s="6" t="s">
        <v>14</v>
      </c>
      <c r="C4" s="5">
        <v>46092.0</v>
      </c>
      <c r="D4" s="6">
        <v>346.0</v>
      </c>
      <c r="E4" s="5">
        <v>46123.0</v>
      </c>
      <c r="F4" s="6">
        <v>346.0</v>
      </c>
      <c r="G4" s="6">
        <v>0.0</v>
      </c>
      <c r="H4" s="6" t="s">
        <v>5</v>
      </c>
    </row>
    <row r="5">
      <c r="A5" s="5">
        <v>46123.0</v>
      </c>
      <c r="B5" s="6" t="s">
        <v>18</v>
      </c>
      <c r="C5" s="5">
        <v>46092.0</v>
      </c>
      <c r="D5" s="6">
        <v>28.1</v>
      </c>
      <c r="E5" s="5">
        <v>46123.0</v>
      </c>
      <c r="F5" s="6">
        <v>47.3</v>
      </c>
      <c r="G5" s="6">
        <v>68.33</v>
      </c>
      <c r="H5" s="7" t="str">
        <f>+</f>
        <v>#ERROR!</v>
      </c>
    </row>
    <row r="6">
      <c r="A6" s="5">
        <v>46123.0</v>
      </c>
      <c r="B6" s="6" t="s">
        <v>22</v>
      </c>
      <c r="C6" s="5">
        <v>46092.0</v>
      </c>
      <c r="D6" s="6">
        <v>141.0</v>
      </c>
      <c r="E6" s="5">
        <v>46123.0</v>
      </c>
      <c r="F6" s="6">
        <v>130.5</v>
      </c>
      <c r="G6" s="6">
        <v>-7.45</v>
      </c>
      <c r="H6" s="6" t="s">
        <v>5</v>
      </c>
    </row>
    <row r="7">
      <c r="A7" s="5">
        <v>46123.0</v>
      </c>
      <c r="B7" s="6" t="s">
        <v>11</v>
      </c>
      <c r="C7" s="5">
        <v>46092.0</v>
      </c>
      <c r="D7" s="6">
        <v>368.0</v>
      </c>
      <c r="E7" s="5">
        <v>46123.0</v>
      </c>
      <c r="F7" s="6">
        <v>542.0</v>
      </c>
      <c r="G7" s="6">
        <v>47.28</v>
      </c>
      <c r="H7" s="7" t="str">
        <f>+</f>
        <v>#ERROR!</v>
      </c>
    </row>
    <row r="8">
      <c r="A8" s="5">
        <v>46123.0</v>
      </c>
      <c r="B8" s="6" t="s">
        <v>28</v>
      </c>
      <c r="C8" s="5">
        <v>46092.0</v>
      </c>
      <c r="D8" s="6">
        <v>55.3</v>
      </c>
      <c r="E8" s="5">
        <v>46123.0</v>
      </c>
      <c r="F8" s="6">
        <v>73.5</v>
      </c>
      <c r="G8" s="6">
        <v>32.91</v>
      </c>
      <c r="H8" s="7" t="str">
        <f>+</f>
        <v>#ERROR!</v>
      </c>
    </row>
    <row r="9">
      <c r="A9" s="5">
        <v>46123.0</v>
      </c>
      <c r="B9" s="6" t="s">
        <v>32</v>
      </c>
      <c r="C9" s="5">
        <v>46092.0</v>
      </c>
      <c r="D9" s="6">
        <v>253.0</v>
      </c>
      <c r="E9" s="5">
        <v>46123.0</v>
      </c>
      <c r="F9" s="6">
        <v>303.0</v>
      </c>
      <c r="G9" s="6">
        <v>19.76</v>
      </c>
      <c r="H9" s="7" t="str">
        <f>+</f>
        <v>#ERROR!</v>
      </c>
    </row>
    <row r="10">
      <c r="A10" s="5">
        <v>46123.0</v>
      </c>
      <c r="B10" s="6" t="s">
        <v>35</v>
      </c>
      <c r="C10" s="5">
        <v>46092.0</v>
      </c>
      <c r="D10" s="6">
        <v>35.55</v>
      </c>
      <c r="E10" s="5">
        <v>46123.0</v>
      </c>
      <c r="F10" s="6">
        <v>39.1</v>
      </c>
      <c r="G10" s="6">
        <v>9.99</v>
      </c>
      <c r="H10" s="7" t="str">
        <f>+</f>
        <v>#ERROR!</v>
      </c>
    </row>
    <row r="11">
      <c r="A11" s="5">
        <v>46123.0</v>
      </c>
      <c r="B11" s="6" t="s">
        <v>39</v>
      </c>
      <c r="C11" s="5">
        <v>46092.0</v>
      </c>
      <c r="D11" s="6">
        <v>30.3</v>
      </c>
      <c r="E11" s="5">
        <v>46123.0</v>
      </c>
      <c r="F11" s="6">
        <v>26.0</v>
      </c>
      <c r="G11" s="6">
        <v>-14.19</v>
      </c>
      <c r="H11" s="6" t="s">
        <v>5</v>
      </c>
    </row>
    <row r="12">
      <c r="A12" s="5">
        <v>46123.0</v>
      </c>
      <c r="B12" s="6" t="s">
        <v>42</v>
      </c>
      <c r="C12" s="5">
        <v>46092.0</v>
      </c>
      <c r="D12" s="6">
        <v>129.0</v>
      </c>
      <c r="E12" s="5">
        <v>46123.0</v>
      </c>
      <c r="F12" s="6">
        <v>134.0</v>
      </c>
      <c r="G12" s="6">
        <v>3.88</v>
      </c>
      <c r="H12" s="7" t="str">
        <f>+</f>
        <v>#ERROR!</v>
      </c>
    </row>
    <row r="13">
      <c r="A13" s="5">
        <v>46123.0</v>
      </c>
      <c r="B13" s="6" t="s">
        <v>47</v>
      </c>
      <c r="C13" s="5">
        <v>46092.0</v>
      </c>
      <c r="D13" s="6">
        <v>633.0</v>
      </c>
      <c r="E13" s="5">
        <v>46123.0</v>
      </c>
      <c r="F13" s="6">
        <v>922.0</v>
      </c>
      <c r="G13" s="6">
        <v>45.66</v>
      </c>
      <c r="H13" s="7" t="str">
        <f>+</f>
        <v>#ERROR!</v>
      </c>
    </row>
    <row r="14">
      <c r="A14" s="5">
        <v>46123.0</v>
      </c>
      <c r="B14" s="6" t="s">
        <v>50</v>
      </c>
      <c r="C14" s="5">
        <v>46092.0</v>
      </c>
      <c r="D14" s="6">
        <v>82.9</v>
      </c>
      <c r="E14" s="5">
        <v>46123.0</v>
      </c>
      <c r="F14" s="6">
        <v>82.2</v>
      </c>
      <c r="G14" s="6">
        <v>-0.84</v>
      </c>
      <c r="H14" s="6" t="s">
        <v>5</v>
      </c>
    </row>
    <row r="15">
      <c r="A15" s="5">
        <v>46123.0</v>
      </c>
      <c r="B15" s="6" t="s">
        <v>48</v>
      </c>
      <c r="C15" s="5">
        <v>46092.0</v>
      </c>
      <c r="D15" s="6">
        <v>3485.0</v>
      </c>
      <c r="E15" s="5">
        <v>46123.0</v>
      </c>
      <c r="F15" s="6">
        <v>4125.0</v>
      </c>
      <c r="G15" s="6">
        <v>18.36</v>
      </c>
      <c r="H15" s="7" t="str">
        <f>+</f>
        <v>#ERROR!</v>
      </c>
    </row>
    <row r="16">
      <c r="A16" s="5">
        <v>46123.0</v>
      </c>
      <c r="B16" s="6" t="s">
        <v>53</v>
      </c>
      <c r="C16" s="5">
        <v>46092.0</v>
      </c>
      <c r="D16" s="6">
        <v>1655.0</v>
      </c>
      <c r="E16" s="5">
        <v>46123.0</v>
      </c>
      <c r="F16" s="6">
        <v>2200.0</v>
      </c>
      <c r="G16" s="6">
        <v>32.93</v>
      </c>
      <c r="H16" s="7" t="str">
        <f>+</f>
        <v>#ERROR!</v>
      </c>
    </row>
    <row r="17">
      <c r="A17" s="5">
        <v>46123.0</v>
      </c>
      <c r="B17" s="6" t="s">
        <v>55</v>
      </c>
      <c r="C17" s="5">
        <v>46092.0</v>
      </c>
      <c r="D17" s="6">
        <v>70.7</v>
      </c>
      <c r="E17" s="5">
        <v>46123.0</v>
      </c>
      <c r="F17" s="6">
        <v>80.7</v>
      </c>
      <c r="G17" s="6">
        <v>14.14</v>
      </c>
      <c r="H17" s="7" t="str">
        <f>+</f>
        <v>#ERROR!</v>
      </c>
    </row>
    <row r="18">
      <c r="A18" s="5">
        <v>46123.0</v>
      </c>
      <c r="B18" s="6" t="s">
        <v>57</v>
      </c>
      <c r="C18" s="5">
        <v>46092.0</v>
      </c>
      <c r="D18" s="6">
        <v>52.3</v>
      </c>
      <c r="E18" s="5">
        <v>46123.0</v>
      </c>
      <c r="F18" s="6">
        <v>35.5</v>
      </c>
      <c r="G18" s="6">
        <v>-32.12</v>
      </c>
      <c r="H18" s="6" t="s">
        <v>5</v>
      </c>
    </row>
    <row r="19">
      <c r="A19" s="5">
        <v>46123.0</v>
      </c>
      <c r="B19" s="6" t="s">
        <v>58</v>
      </c>
      <c r="C19" s="5">
        <v>46092.0</v>
      </c>
      <c r="D19" s="6">
        <v>1865.0</v>
      </c>
      <c r="E19" s="5">
        <v>46123.0</v>
      </c>
      <c r="F19" s="6">
        <v>1865.0</v>
      </c>
      <c r="G19" s="6">
        <v>0.0</v>
      </c>
      <c r="H19" s="6" t="s">
        <v>5</v>
      </c>
    </row>
    <row r="20">
      <c r="A20" s="5">
        <v>46123.0</v>
      </c>
      <c r="B20" s="6" t="s">
        <v>59</v>
      </c>
      <c r="C20" s="5">
        <v>46092.0</v>
      </c>
      <c r="D20" s="6">
        <v>116.5</v>
      </c>
      <c r="E20" s="5">
        <v>46123.0</v>
      </c>
      <c r="F20" s="6">
        <v>137.0</v>
      </c>
      <c r="G20" s="6">
        <v>17.6</v>
      </c>
      <c r="H20" s="7" t="str">
        <f>+</f>
        <v>#ERROR!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5">
        <v>46152.0</v>
      </c>
      <c r="C1" s="6" t="s">
        <v>61</v>
      </c>
      <c r="D1" s="5">
        <v>46123.0</v>
      </c>
      <c r="E1" s="6">
        <v>85.7</v>
      </c>
      <c r="F1" s="5">
        <v>46153.0</v>
      </c>
      <c r="G1" s="6">
        <v>88.6</v>
      </c>
      <c r="H1" s="6">
        <v>3.38</v>
      </c>
      <c r="I1" s="7" t="str">
        <f>+</f>
        <v>#ERROR!</v>
      </c>
    </row>
    <row r="2">
      <c r="A2" s="6">
        <v>2.0</v>
      </c>
      <c r="B2" s="5">
        <v>46152.0</v>
      </c>
      <c r="C2" s="6" t="s">
        <v>62</v>
      </c>
      <c r="D2" s="5">
        <v>46123.0</v>
      </c>
      <c r="E2" s="6">
        <v>519.0</v>
      </c>
      <c r="F2" s="5">
        <v>46153.0</v>
      </c>
      <c r="G2" s="6">
        <v>572.0</v>
      </c>
      <c r="H2" s="6">
        <v>10.21</v>
      </c>
      <c r="I2" s="7" t="str">
        <f>+</f>
        <v>#ERROR!</v>
      </c>
    </row>
    <row r="3">
      <c r="A3" s="6">
        <v>3.0</v>
      </c>
      <c r="B3" s="5">
        <v>46152.0</v>
      </c>
      <c r="C3" s="6" t="s">
        <v>3</v>
      </c>
      <c r="D3" s="5">
        <v>46123.0</v>
      </c>
      <c r="E3" s="6">
        <v>10.15</v>
      </c>
      <c r="F3" s="5">
        <v>46153.0</v>
      </c>
      <c r="G3" s="6">
        <v>9.23</v>
      </c>
      <c r="H3" s="6">
        <v>-9.06</v>
      </c>
      <c r="I3" s="6" t="s">
        <v>5</v>
      </c>
    </row>
    <row r="4">
      <c r="A4" s="6">
        <v>4.0</v>
      </c>
      <c r="B4" s="5">
        <v>46152.0</v>
      </c>
      <c r="C4" s="6" t="s">
        <v>63</v>
      </c>
      <c r="D4" s="5">
        <v>46123.0</v>
      </c>
      <c r="E4" s="6">
        <v>1740.0</v>
      </c>
      <c r="F4" s="5">
        <v>46153.0</v>
      </c>
      <c r="G4" s="6">
        <v>2200.0</v>
      </c>
      <c r="H4" s="6">
        <v>26.44</v>
      </c>
      <c r="I4" s="7" t="str">
        <f>+</f>
        <v>#ERROR!</v>
      </c>
    </row>
    <row r="5">
      <c r="A5" s="6">
        <v>5.0</v>
      </c>
      <c r="B5" s="5">
        <v>46152.0</v>
      </c>
      <c r="C5" s="6" t="s">
        <v>8</v>
      </c>
      <c r="D5" s="5">
        <v>46123.0</v>
      </c>
      <c r="E5" s="6">
        <v>279.0</v>
      </c>
      <c r="F5" s="5">
        <v>46153.0</v>
      </c>
      <c r="G5" s="6">
        <v>253.5</v>
      </c>
      <c r="H5" s="6">
        <v>-9.14</v>
      </c>
      <c r="I5" s="6" t="s">
        <v>5</v>
      </c>
    </row>
    <row r="6">
      <c r="A6" s="6">
        <v>6.0</v>
      </c>
      <c r="B6" s="5">
        <v>46152.0</v>
      </c>
      <c r="C6" s="6" t="s">
        <v>2</v>
      </c>
      <c r="D6" s="5">
        <v>46123.0</v>
      </c>
      <c r="E6" s="6">
        <v>1055.0</v>
      </c>
      <c r="F6" s="5">
        <v>46153.0</v>
      </c>
      <c r="G6" s="6">
        <v>1330.0</v>
      </c>
      <c r="H6" s="6">
        <v>26.07</v>
      </c>
      <c r="I6" s="7" t="str">
        <f>+</f>
        <v>#ERROR!</v>
      </c>
    </row>
    <row r="7">
      <c r="A7" s="6">
        <v>7.0</v>
      </c>
      <c r="B7" s="5">
        <v>46152.0</v>
      </c>
      <c r="C7" s="6" t="s">
        <v>7</v>
      </c>
      <c r="D7" s="5">
        <v>46123.0</v>
      </c>
      <c r="E7" s="6">
        <v>3325.0</v>
      </c>
      <c r="F7" s="5">
        <v>46153.0</v>
      </c>
      <c r="G7" s="6">
        <v>4750.0</v>
      </c>
      <c r="H7" s="6">
        <v>42.86</v>
      </c>
      <c r="I7" s="7" t="str">
        <f>+</f>
        <v>#ERROR!</v>
      </c>
    </row>
    <row r="8">
      <c r="A8" s="6">
        <v>8.0</v>
      </c>
      <c r="B8" s="5">
        <v>46152.0</v>
      </c>
      <c r="C8" s="6" t="s">
        <v>65</v>
      </c>
      <c r="D8" s="5">
        <v>46123.0</v>
      </c>
      <c r="E8" s="6">
        <v>293.0</v>
      </c>
      <c r="F8" s="5">
        <v>46153.0</v>
      </c>
      <c r="G8" s="6">
        <v>337.0</v>
      </c>
      <c r="H8" s="6">
        <v>15.02</v>
      </c>
      <c r="I8" s="7" t="str">
        <f>+</f>
        <v>#ERROR!</v>
      </c>
    </row>
    <row r="9">
      <c r="A9" s="6">
        <v>9.0</v>
      </c>
      <c r="B9" s="5">
        <v>46152.0</v>
      </c>
      <c r="C9" s="6" t="s">
        <v>11</v>
      </c>
      <c r="D9" s="5">
        <v>46123.0</v>
      </c>
      <c r="E9" s="6">
        <v>549.0</v>
      </c>
      <c r="F9" s="5">
        <v>46153.0</v>
      </c>
      <c r="G9" s="6">
        <v>537.0</v>
      </c>
      <c r="H9" s="6">
        <v>-2.19</v>
      </c>
      <c r="I9" s="6" t="s">
        <v>5</v>
      </c>
    </row>
    <row r="10">
      <c r="A10" s="6">
        <v>10.0</v>
      </c>
      <c r="B10" s="5">
        <v>46152.0</v>
      </c>
      <c r="C10" s="6" t="s">
        <v>68</v>
      </c>
      <c r="D10" s="5">
        <v>46123.0</v>
      </c>
      <c r="E10" s="6">
        <v>162.5</v>
      </c>
      <c r="F10" s="5">
        <v>46153.0</v>
      </c>
      <c r="G10" s="6">
        <v>221.5</v>
      </c>
      <c r="H10" s="6">
        <v>36.31</v>
      </c>
      <c r="I10" s="7" t="str">
        <f>+</f>
        <v>#ERROR!</v>
      </c>
    </row>
    <row r="11">
      <c r="A11" s="6">
        <v>11.0</v>
      </c>
      <c r="B11" s="5">
        <v>46152.0</v>
      </c>
      <c r="C11" s="6" t="s">
        <v>71</v>
      </c>
      <c r="D11" s="5">
        <v>46123.0</v>
      </c>
      <c r="E11" s="6">
        <v>102.0</v>
      </c>
      <c r="F11" s="5">
        <v>46153.0</v>
      </c>
      <c r="G11" s="6">
        <v>112.0</v>
      </c>
      <c r="H11" s="6">
        <v>9.8</v>
      </c>
      <c r="I11" s="7" t="str">
        <f>+</f>
        <v>#ERROR!</v>
      </c>
    </row>
    <row r="12">
      <c r="A12" s="6">
        <v>12.0</v>
      </c>
      <c r="B12" s="5">
        <v>46152.0</v>
      </c>
      <c r="C12" s="6" t="s">
        <v>15</v>
      </c>
      <c r="D12" s="5">
        <v>46123.0</v>
      </c>
      <c r="E12" s="6">
        <v>194.0</v>
      </c>
      <c r="F12" s="5">
        <v>46153.0</v>
      </c>
      <c r="G12" s="6">
        <v>281.5</v>
      </c>
      <c r="H12" s="6">
        <v>45.1</v>
      </c>
      <c r="I12" s="7" t="str">
        <f>+</f>
        <v>#ERROR!</v>
      </c>
    </row>
    <row r="13">
      <c r="A13" s="6">
        <v>13.0</v>
      </c>
      <c r="B13" s="5">
        <v>46152.0</v>
      </c>
      <c r="C13" s="6" t="s">
        <v>73</v>
      </c>
      <c r="D13" s="5">
        <v>46123.0</v>
      </c>
      <c r="E13" s="6">
        <v>126.0</v>
      </c>
      <c r="F13" s="5">
        <v>46153.0</v>
      </c>
      <c r="G13" s="6">
        <v>123.5</v>
      </c>
      <c r="H13" s="6">
        <v>-1.98</v>
      </c>
      <c r="I13" s="6" t="s">
        <v>5</v>
      </c>
    </row>
    <row r="14">
      <c r="A14" s="6">
        <v>14.0</v>
      </c>
      <c r="B14" s="5">
        <v>46152.0</v>
      </c>
      <c r="C14" s="6" t="s">
        <v>17</v>
      </c>
      <c r="D14" s="5">
        <v>46123.0</v>
      </c>
      <c r="E14" s="6">
        <v>21.15</v>
      </c>
      <c r="F14" s="5">
        <v>46153.0</v>
      </c>
      <c r="G14" s="6">
        <v>20.95</v>
      </c>
      <c r="H14" s="6">
        <v>-0.95</v>
      </c>
      <c r="I14" s="6" t="s">
        <v>5</v>
      </c>
    </row>
    <row r="15">
      <c r="A15" s="6">
        <v>15.0</v>
      </c>
      <c r="B15" s="5">
        <v>46152.0</v>
      </c>
      <c r="C15" s="6" t="s">
        <v>78</v>
      </c>
      <c r="D15" s="5">
        <v>46123.0</v>
      </c>
      <c r="E15" s="6">
        <v>20.75</v>
      </c>
      <c r="F15" s="5">
        <v>46153.0</v>
      </c>
      <c r="G15" s="6">
        <v>19.75</v>
      </c>
      <c r="H15" s="6">
        <v>-4.82</v>
      </c>
      <c r="I15" s="6" t="s">
        <v>5</v>
      </c>
    </row>
    <row r="16">
      <c r="A16" s="6">
        <v>16.0</v>
      </c>
      <c r="B16" s="5">
        <v>46152.0</v>
      </c>
      <c r="C16" s="6" t="s">
        <v>23</v>
      </c>
      <c r="D16" s="5">
        <v>46123.0</v>
      </c>
      <c r="E16" s="6">
        <v>21.05</v>
      </c>
      <c r="F16" s="5">
        <v>46153.0</v>
      </c>
      <c r="G16" s="6">
        <v>22.9</v>
      </c>
      <c r="H16" s="6">
        <v>8.79</v>
      </c>
      <c r="I16" s="7" t="str">
        <f>+</f>
        <v>#ERROR!</v>
      </c>
    </row>
    <row r="17">
      <c r="A17" s="6">
        <v>17.0</v>
      </c>
      <c r="B17" s="5">
        <v>46152.0</v>
      </c>
      <c r="C17" s="6" t="s">
        <v>25</v>
      </c>
      <c r="D17" s="5">
        <v>46123.0</v>
      </c>
      <c r="E17" s="6">
        <v>47.45</v>
      </c>
      <c r="F17" s="5">
        <v>46153.0</v>
      </c>
      <c r="G17" s="6">
        <v>56.5</v>
      </c>
      <c r="H17" s="6">
        <v>19.07</v>
      </c>
      <c r="I17" s="7" t="str">
        <f>+</f>
        <v>#ERROR!</v>
      </c>
    </row>
    <row r="18">
      <c r="A18" s="6">
        <v>18.0</v>
      </c>
      <c r="B18" s="5">
        <v>46152.0</v>
      </c>
      <c r="C18" s="6" t="s">
        <v>81</v>
      </c>
      <c r="D18" s="5">
        <v>46123.0</v>
      </c>
      <c r="E18" s="6">
        <v>53.3</v>
      </c>
      <c r="F18" s="5">
        <v>46153.0</v>
      </c>
      <c r="G18" s="6">
        <v>56.4</v>
      </c>
      <c r="H18" s="6">
        <v>5.82</v>
      </c>
      <c r="I18" s="7" t="str">
        <f>+</f>
        <v>#ERROR!</v>
      </c>
    </row>
    <row r="19">
      <c r="A19" s="6">
        <v>19.0</v>
      </c>
      <c r="B19" s="5">
        <v>46152.0</v>
      </c>
      <c r="C19" s="6" t="s">
        <v>26</v>
      </c>
      <c r="D19" s="5">
        <v>46123.0</v>
      </c>
      <c r="E19" s="6">
        <v>28.45</v>
      </c>
      <c r="F19" s="5">
        <v>46153.0</v>
      </c>
      <c r="G19" s="6">
        <v>29.5</v>
      </c>
      <c r="H19" s="6">
        <v>3.69</v>
      </c>
      <c r="I19" s="7" t="str">
        <f>+</f>
        <v>#ERROR!</v>
      </c>
    </row>
    <row r="20">
      <c r="A20" s="6">
        <v>20.0</v>
      </c>
      <c r="B20" s="5">
        <v>46152.0</v>
      </c>
      <c r="C20" s="6" t="s">
        <v>37</v>
      </c>
      <c r="D20" s="5">
        <v>46123.0</v>
      </c>
      <c r="E20" s="6">
        <v>2200.0</v>
      </c>
      <c r="F20" s="5">
        <v>46153.0</v>
      </c>
      <c r="G20" s="6">
        <v>2445.0</v>
      </c>
      <c r="H20" s="6">
        <v>11.14</v>
      </c>
      <c r="I20" s="7" t="str">
        <f>+</f>
        <v>#ERROR!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46183.0</v>
      </c>
      <c r="B1" s="6" t="s">
        <v>61</v>
      </c>
      <c r="C1" s="5">
        <v>46153.0</v>
      </c>
      <c r="D1" s="6">
        <v>91.5</v>
      </c>
      <c r="E1" s="5">
        <v>46184.0</v>
      </c>
      <c r="F1" s="6">
        <v>94.8</v>
      </c>
      <c r="G1" s="6">
        <v>3.61</v>
      </c>
      <c r="H1" s="7" t="str">
        <f>+</f>
        <v>#ERROR!</v>
      </c>
    </row>
    <row r="2">
      <c r="A2" s="5">
        <v>46183.0</v>
      </c>
      <c r="B2" s="6" t="s">
        <v>62</v>
      </c>
      <c r="C2" s="5">
        <v>46153.0</v>
      </c>
      <c r="D2" s="6">
        <v>629.0</v>
      </c>
      <c r="E2" s="5">
        <v>46184.0</v>
      </c>
      <c r="F2" s="6">
        <v>609.0</v>
      </c>
      <c r="G2" s="6">
        <v>-3.18</v>
      </c>
      <c r="H2" s="6" t="s">
        <v>5</v>
      </c>
    </row>
    <row r="3">
      <c r="A3" s="5">
        <v>46183.0</v>
      </c>
      <c r="B3" s="6" t="s">
        <v>3</v>
      </c>
      <c r="C3" s="5">
        <v>46153.0</v>
      </c>
      <c r="D3" s="6">
        <v>9.81</v>
      </c>
      <c r="E3" s="5">
        <v>46184.0</v>
      </c>
      <c r="F3" s="6">
        <v>13.1</v>
      </c>
      <c r="G3" s="6">
        <v>33.54</v>
      </c>
      <c r="H3" s="7" t="str">
        <f>+</f>
        <v>#ERROR!</v>
      </c>
    </row>
    <row r="4">
      <c r="A4" s="5">
        <v>46183.0</v>
      </c>
      <c r="B4" s="6" t="s">
        <v>8</v>
      </c>
      <c r="C4" s="5">
        <v>46153.0</v>
      </c>
      <c r="D4" s="6">
        <v>242.0</v>
      </c>
      <c r="E4" s="5">
        <v>46184.0</v>
      </c>
      <c r="F4" s="6">
        <v>259.0</v>
      </c>
      <c r="G4" s="6">
        <v>7.02</v>
      </c>
      <c r="H4" s="7" t="str">
        <f>+</f>
        <v>#ERROR!</v>
      </c>
    </row>
    <row r="5">
      <c r="A5" s="5">
        <v>46183.0</v>
      </c>
      <c r="B5" s="6" t="s">
        <v>65</v>
      </c>
      <c r="C5" s="5">
        <v>46153.0</v>
      </c>
      <c r="D5" s="6">
        <v>360.0</v>
      </c>
      <c r="E5" s="5">
        <v>46184.0</v>
      </c>
      <c r="F5" s="6">
        <v>355.5</v>
      </c>
      <c r="G5" s="6">
        <v>-1.25</v>
      </c>
      <c r="H5" s="6" t="s">
        <v>5</v>
      </c>
    </row>
    <row r="6">
      <c r="A6" s="5">
        <v>46183.0</v>
      </c>
      <c r="B6" s="6" t="s">
        <v>11</v>
      </c>
      <c r="C6" s="5">
        <v>46153.0</v>
      </c>
      <c r="D6" s="6">
        <v>590.0</v>
      </c>
      <c r="E6" s="5">
        <v>46184.0</v>
      </c>
      <c r="F6" s="6">
        <v>540.0</v>
      </c>
      <c r="G6" s="6">
        <v>-8.47</v>
      </c>
      <c r="H6" s="6" t="s">
        <v>5</v>
      </c>
    </row>
    <row r="7">
      <c r="A7" s="5">
        <v>46183.0</v>
      </c>
      <c r="B7" s="6" t="s">
        <v>73</v>
      </c>
      <c r="C7" s="5">
        <v>46153.0</v>
      </c>
      <c r="D7" s="6">
        <v>129.5</v>
      </c>
      <c r="E7" s="5">
        <v>46184.0</v>
      </c>
      <c r="F7" s="6">
        <v>105.5</v>
      </c>
      <c r="G7" s="6">
        <v>-18.53</v>
      </c>
      <c r="H7" s="6" t="s">
        <v>5</v>
      </c>
    </row>
    <row r="8">
      <c r="A8" s="5">
        <v>46183.0</v>
      </c>
      <c r="B8" s="6" t="s">
        <v>17</v>
      </c>
      <c r="C8" s="5">
        <v>46153.0</v>
      </c>
      <c r="D8" s="6">
        <v>20.9</v>
      </c>
      <c r="E8" s="5">
        <v>46184.0</v>
      </c>
      <c r="F8" s="6">
        <v>22.35</v>
      </c>
      <c r="G8" s="6">
        <v>6.94</v>
      </c>
      <c r="H8" s="7" t="str">
        <f>+</f>
        <v>#ERROR!</v>
      </c>
    </row>
    <row r="9">
      <c r="A9" s="5">
        <v>46183.0</v>
      </c>
      <c r="B9" s="6" t="s">
        <v>78</v>
      </c>
      <c r="C9" s="5">
        <v>46153.0</v>
      </c>
      <c r="D9" s="6">
        <v>19.75</v>
      </c>
      <c r="E9" s="5">
        <v>46184.0</v>
      </c>
      <c r="F9" s="6">
        <v>19.4</v>
      </c>
      <c r="G9" s="6">
        <v>-1.77</v>
      </c>
      <c r="H9" s="6" t="s">
        <v>5</v>
      </c>
    </row>
    <row r="10">
      <c r="A10" s="5">
        <v>46183.0</v>
      </c>
      <c r="B10" s="6" t="s">
        <v>23</v>
      </c>
      <c r="C10" s="5">
        <v>46153.0</v>
      </c>
      <c r="D10" s="6">
        <v>22.8</v>
      </c>
      <c r="E10" s="5">
        <v>46184.0</v>
      </c>
      <c r="F10" s="6">
        <v>28.2</v>
      </c>
      <c r="G10" s="6">
        <v>23.68</v>
      </c>
      <c r="H10" s="7" t="str">
        <f>+</f>
        <v>#ERROR!</v>
      </c>
    </row>
    <row r="11">
      <c r="A11" s="5">
        <v>46183.0</v>
      </c>
      <c r="B11" s="6" t="s">
        <v>25</v>
      </c>
      <c r="C11" s="5">
        <v>46153.0</v>
      </c>
      <c r="D11" s="6">
        <v>56.5</v>
      </c>
      <c r="E11" s="5">
        <v>46184.0</v>
      </c>
      <c r="F11" s="6">
        <v>62.3</v>
      </c>
      <c r="G11" s="6">
        <v>10.27</v>
      </c>
      <c r="H11" s="7" t="str">
        <f>+</f>
        <v>#ERROR!</v>
      </c>
    </row>
    <row r="12">
      <c r="A12" s="5">
        <v>46183.0</v>
      </c>
      <c r="B12" s="6" t="s">
        <v>81</v>
      </c>
      <c r="C12" s="5">
        <v>46153.0</v>
      </c>
      <c r="D12" s="6">
        <v>55.3</v>
      </c>
      <c r="E12" s="5">
        <v>46184.0</v>
      </c>
      <c r="F12" s="6">
        <v>68.2</v>
      </c>
      <c r="G12" s="6">
        <v>23.33</v>
      </c>
      <c r="H12" s="7" t="str">
        <f>+</f>
        <v>#ERROR!</v>
      </c>
    </row>
    <row r="13">
      <c r="A13" s="5">
        <v>46183.0</v>
      </c>
      <c r="B13" s="6" t="s">
        <v>26</v>
      </c>
      <c r="C13" s="5">
        <v>46153.0</v>
      </c>
      <c r="D13" s="6">
        <v>29.55</v>
      </c>
      <c r="E13" s="5">
        <v>46184.0</v>
      </c>
      <c r="F13" s="6">
        <v>30.55</v>
      </c>
      <c r="G13" s="6">
        <v>3.38</v>
      </c>
      <c r="H13" s="7" t="str">
        <f>+</f>
        <v>#ERROR!</v>
      </c>
    </row>
    <row r="14">
      <c r="A14" s="5">
        <v>46183.0</v>
      </c>
      <c r="B14" s="6" t="s">
        <v>84</v>
      </c>
      <c r="C14" s="5">
        <v>46153.0</v>
      </c>
      <c r="D14" s="6">
        <v>302.0</v>
      </c>
      <c r="E14" s="5">
        <v>46184.0</v>
      </c>
      <c r="F14" s="6">
        <v>306.5</v>
      </c>
      <c r="G14" s="6">
        <v>1.49</v>
      </c>
      <c r="H14" s="7" t="str">
        <f>+</f>
        <v>#ERROR!</v>
      </c>
    </row>
    <row r="15">
      <c r="A15" s="5">
        <v>46183.0</v>
      </c>
      <c r="B15" s="6" t="s">
        <v>85</v>
      </c>
      <c r="C15" s="5">
        <v>46153.0</v>
      </c>
      <c r="D15" s="6">
        <v>27.85</v>
      </c>
      <c r="E15" s="5">
        <v>46184.0</v>
      </c>
      <c r="F15" s="6">
        <v>25.3</v>
      </c>
      <c r="G15" s="6">
        <v>-9.16</v>
      </c>
      <c r="H15" s="6" t="s">
        <v>5</v>
      </c>
    </row>
    <row r="16">
      <c r="A16" s="5">
        <v>46183.0</v>
      </c>
      <c r="B16" s="6" t="s">
        <v>86</v>
      </c>
      <c r="C16" s="5">
        <v>46153.0</v>
      </c>
      <c r="D16" s="6">
        <v>526.0</v>
      </c>
      <c r="E16" s="5">
        <v>46184.0</v>
      </c>
      <c r="F16" s="6">
        <v>478.0</v>
      </c>
      <c r="G16" s="6">
        <v>-9.13</v>
      </c>
      <c r="H16" s="6" t="s">
        <v>5</v>
      </c>
    </row>
    <row r="17">
      <c r="A17" s="5">
        <v>46183.0</v>
      </c>
      <c r="B17" s="6" t="s">
        <v>87</v>
      </c>
      <c r="C17" s="5">
        <v>46153.0</v>
      </c>
      <c r="D17" s="6">
        <v>1040.0</v>
      </c>
      <c r="E17" s="5">
        <v>46184.0</v>
      </c>
      <c r="F17" s="6">
        <v>884.0</v>
      </c>
      <c r="G17" s="6">
        <v>-15.0</v>
      </c>
      <c r="H17" s="6" t="s">
        <v>5</v>
      </c>
    </row>
    <row r="18">
      <c r="A18" s="5">
        <v>46183.0</v>
      </c>
      <c r="B18" s="6" t="s">
        <v>88</v>
      </c>
      <c r="C18" s="5">
        <v>46153.0</v>
      </c>
      <c r="D18" s="6">
        <v>43.8</v>
      </c>
      <c r="E18" s="5">
        <v>46184.0</v>
      </c>
      <c r="F18" s="6">
        <v>58.5</v>
      </c>
      <c r="G18" s="6">
        <v>33.56</v>
      </c>
      <c r="H18" s="7" t="str">
        <f>+</f>
        <v>#ERROR!</v>
      </c>
    </row>
    <row r="19">
      <c r="A19" s="5">
        <v>46183.0</v>
      </c>
      <c r="B19" s="6" t="s">
        <v>89</v>
      </c>
      <c r="C19" s="5">
        <v>46153.0</v>
      </c>
      <c r="D19" s="6">
        <v>457.0</v>
      </c>
      <c r="E19" s="5">
        <v>46184.0</v>
      </c>
      <c r="F19" s="6">
        <v>390.0</v>
      </c>
      <c r="G19" s="6">
        <v>-14.66</v>
      </c>
      <c r="H19" s="6" t="s">
        <v>5</v>
      </c>
    </row>
    <row r="20">
      <c r="A20" s="5">
        <v>46183.0</v>
      </c>
      <c r="B20" s="6" t="s">
        <v>90</v>
      </c>
      <c r="C20" s="5">
        <v>46153.0</v>
      </c>
      <c r="D20" s="6">
        <v>180.5</v>
      </c>
      <c r="E20" s="5">
        <v>46184.0</v>
      </c>
      <c r="F20" s="6">
        <v>171.5</v>
      </c>
      <c r="G20" s="6">
        <v>-4.99</v>
      </c>
      <c r="H20" s="6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46215.0</v>
      </c>
      <c r="B1" s="6" t="s">
        <v>64</v>
      </c>
      <c r="C1" s="5">
        <v>46184.0</v>
      </c>
      <c r="D1" s="6">
        <v>55.7</v>
      </c>
      <c r="E1" s="5">
        <v>46214.0</v>
      </c>
      <c r="F1" s="6">
        <v>57.0</v>
      </c>
      <c r="G1" s="6">
        <v>2.33</v>
      </c>
    </row>
    <row r="2">
      <c r="A2" s="5">
        <v>46215.0</v>
      </c>
      <c r="B2" s="6" t="s">
        <v>66</v>
      </c>
      <c r="C2" s="5">
        <v>46184.0</v>
      </c>
      <c r="D2" s="6">
        <v>75.6</v>
      </c>
      <c r="E2" s="5">
        <v>46214.0</v>
      </c>
      <c r="F2" s="6">
        <v>78.4</v>
      </c>
      <c r="G2" s="6">
        <v>3.7</v>
      </c>
    </row>
    <row r="3">
      <c r="A3" s="5">
        <v>46215.0</v>
      </c>
      <c r="B3" s="6" t="s">
        <v>3</v>
      </c>
      <c r="C3" s="5">
        <v>46184.0</v>
      </c>
      <c r="D3" s="6">
        <v>14.4</v>
      </c>
      <c r="E3" s="5">
        <v>46214.0</v>
      </c>
      <c r="F3" s="6">
        <v>17.25</v>
      </c>
      <c r="G3" s="6">
        <v>19.79</v>
      </c>
    </row>
    <row r="4">
      <c r="A4" s="5">
        <v>46215.0</v>
      </c>
      <c r="B4" s="6" t="s">
        <v>67</v>
      </c>
      <c r="C4" s="5">
        <v>46184.0</v>
      </c>
      <c r="D4" s="6">
        <v>6400.0</v>
      </c>
      <c r="E4" s="5">
        <v>46214.0</v>
      </c>
      <c r="F4" s="6">
        <v>8250.0</v>
      </c>
      <c r="G4" s="6">
        <v>28.91</v>
      </c>
    </row>
    <row r="5">
      <c r="A5" s="5">
        <v>46215.0</v>
      </c>
      <c r="B5" s="6" t="s">
        <v>69</v>
      </c>
      <c r="C5" s="5">
        <v>46184.0</v>
      </c>
      <c r="D5" s="6">
        <v>90.8</v>
      </c>
      <c r="E5" s="5">
        <v>46214.0</v>
      </c>
      <c r="F5" s="6">
        <v>88.5</v>
      </c>
      <c r="G5" s="6">
        <v>-2.53</v>
      </c>
    </row>
    <row r="6">
      <c r="A6" s="5">
        <v>46215.0</v>
      </c>
      <c r="B6" s="6" t="s">
        <v>70</v>
      </c>
      <c r="C6" s="5">
        <v>46184.0</v>
      </c>
      <c r="D6" s="6">
        <v>655.0</v>
      </c>
      <c r="E6" s="5">
        <v>46214.0</v>
      </c>
      <c r="F6" s="6">
        <v>840.0</v>
      </c>
      <c r="G6" s="6">
        <v>28.24</v>
      </c>
    </row>
    <row r="7">
      <c r="A7" s="5">
        <v>46215.0</v>
      </c>
      <c r="B7" s="6" t="s">
        <v>72</v>
      </c>
      <c r="C7" s="5">
        <v>46184.0</v>
      </c>
      <c r="D7" s="6">
        <v>370.0</v>
      </c>
      <c r="E7" s="5">
        <v>46214.0</v>
      </c>
      <c r="F7" s="6">
        <v>373.5</v>
      </c>
      <c r="G7" s="6">
        <v>0.95</v>
      </c>
    </row>
    <row r="8">
      <c r="A8" s="5">
        <v>46215.0</v>
      </c>
      <c r="B8" s="6" t="s">
        <v>19</v>
      </c>
      <c r="C8" s="5">
        <v>46184.0</v>
      </c>
      <c r="D8" s="6">
        <v>145.0</v>
      </c>
      <c r="E8" s="5">
        <v>46214.0</v>
      </c>
      <c r="F8" s="6">
        <v>133.5</v>
      </c>
      <c r="G8" s="6">
        <v>-7.93</v>
      </c>
    </row>
    <row r="9">
      <c r="A9" s="5">
        <v>46215.0</v>
      </c>
      <c r="B9" s="6" t="s">
        <v>74</v>
      </c>
      <c r="C9" s="5">
        <v>46184.0</v>
      </c>
      <c r="D9" s="6">
        <v>57.5</v>
      </c>
      <c r="E9" s="5">
        <v>46214.0</v>
      </c>
      <c r="F9" s="6">
        <v>45.3</v>
      </c>
      <c r="G9" s="6">
        <v>-21.22</v>
      </c>
    </row>
    <row r="10">
      <c r="A10" s="5">
        <v>46215.0</v>
      </c>
      <c r="B10" s="6" t="s">
        <v>75</v>
      </c>
      <c r="C10" s="5">
        <v>46184.0</v>
      </c>
      <c r="D10" s="6">
        <v>177.5</v>
      </c>
      <c r="E10" s="5">
        <v>46214.0</v>
      </c>
      <c r="F10" s="6">
        <v>174.0</v>
      </c>
      <c r="G10" s="6">
        <v>-1.97</v>
      </c>
    </row>
    <row r="11">
      <c r="A11" s="5">
        <v>46215.0</v>
      </c>
      <c r="B11" s="6" t="s">
        <v>76</v>
      </c>
      <c r="C11" s="5">
        <v>46184.0</v>
      </c>
      <c r="D11" s="6">
        <v>34.65</v>
      </c>
      <c r="E11" s="5">
        <v>46214.0</v>
      </c>
      <c r="F11" s="6">
        <v>68.0</v>
      </c>
      <c r="G11" s="6">
        <v>96.25</v>
      </c>
    </row>
    <row r="12">
      <c r="A12" s="5">
        <v>46215.0</v>
      </c>
      <c r="B12" s="6" t="s">
        <v>77</v>
      </c>
      <c r="C12" s="5">
        <v>46184.0</v>
      </c>
      <c r="D12" s="6">
        <v>188.5</v>
      </c>
      <c r="E12" s="5">
        <v>46214.0</v>
      </c>
      <c r="F12" s="6">
        <v>274.0</v>
      </c>
      <c r="G12" s="6">
        <v>45.36</v>
      </c>
    </row>
    <row r="13">
      <c r="A13" s="5">
        <v>46215.0</v>
      </c>
      <c r="B13" s="6" t="s">
        <v>79</v>
      </c>
      <c r="C13" s="5">
        <v>46184.0</v>
      </c>
      <c r="D13" s="6">
        <v>204.0</v>
      </c>
      <c r="E13" s="5">
        <v>46214.0</v>
      </c>
      <c r="F13" s="6">
        <v>168.5</v>
      </c>
      <c r="G13" s="6">
        <v>-17.4</v>
      </c>
    </row>
    <row r="14">
      <c r="A14" s="5">
        <v>46215.0</v>
      </c>
      <c r="B14" s="6" t="s">
        <v>17</v>
      </c>
      <c r="C14" s="5">
        <v>46184.0</v>
      </c>
      <c r="D14" s="6">
        <v>22.35</v>
      </c>
      <c r="E14" s="5">
        <v>46214.0</v>
      </c>
      <c r="F14" s="6">
        <v>24.05</v>
      </c>
      <c r="G14" s="6">
        <v>7.61</v>
      </c>
    </row>
    <row r="15">
      <c r="A15" s="5">
        <v>46215.0</v>
      </c>
      <c r="B15" s="6" t="s">
        <v>80</v>
      </c>
      <c r="C15" s="5">
        <v>46184.0</v>
      </c>
      <c r="D15" s="6">
        <v>17.0</v>
      </c>
      <c r="E15" s="5">
        <v>46214.0</v>
      </c>
      <c r="F15" s="6">
        <v>17.95</v>
      </c>
      <c r="G15" s="6">
        <v>5.59</v>
      </c>
    </row>
    <row r="16">
      <c r="A16" s="5">
        <v>46215.0</v>
      </c>
      <c r="B16" s="6" t="s">
        <v>20</v>
      </c>
      <c r="C16" s="5">
        <v>46184.0</v>
      </c>
      <c r="D16" s="6">
        <v>35.65</v>
      </c>
      <c r="E16" s="5">
        <v>46214.0</v>
      </c>
      <c r="F16" s="6">
        <v>38.85</v>
      </c>
      <c r="G16" s="6">
        <v>8.98</v>
      </c>
    </row>
    <row r="17">
      <c r="A17" s="5">
        <v>46215.0</v>
      </c>
      <c r="B17" s="6" t="s">
        <v>82</v>
      </c>
      <c r="C17" s="5">
        <v>46184.0</v>
      </c>
      <c r="D17" s="6">
        <v>125.5</v>
      </c>
      <c r="E17" s="5">
        <v>46214.0</v>
      </c>
      <c r="F17" s="6">
        <v>124.5</v>
      </c>
      <c r="G17" s="6">
        <v>-0.8</v>
      </c>
    </row>
    <row r="18">
      <c r="A18" s="5">
        <v>46215.0</v>
      </c>
      <c r="B18" s="6" t="s">
        <v>83</v>
      </c>
      <c r="C18" s="5">
        <v>46184.0</v>
      </c>
      <c r="D18" s="6">
        <v>100.5</v>
      </c>
      <c r="E18" s="5">
        <v>46214.0</v>
      </c>
      <c r="F18" s="6">
        <v>96.3</v>
      </c>
      <c r="G18" s="6">
        <v>-4.18</v>
      </c>
    </row>
    <row r="19">
      <c r="A19" s="5">
        <v>46215.0</v>
      </c>
      <c r="B19" s="6" t="s">
        <v>23</v>
      </c>
      <c r="C19" s="5">
        <v>46184.0</v>
      </c>
      <c r="D19" s="6">
        <v>27.75</v>
      </c>
      <c r="E19" s="5">
        <v>46214.0</v>
      </c>
      <c r="F19" s="6">
        <v>30.05</v>
      </c>
      <c r="G19" s="6">
        <v>8.29</v>
      </c>
    </row>
    <row r="20">
      <c r="A20" s="5">
        <v>46215.0</v>
      </c>
      <c r="B20" s="6" t="s">
        <v>25</v>
      </c>
      <c r="C20" s="5">
        <v>46184.0</v>
      </c>
      <c r="D20" s="6">
        <v>61.6</v>
      </c>
      <c r="E20" s="5">
        <v>46214.0</v>
      </c>
      <c r="F20" s="6">
        <v>68.3</v>
      </c>
      <c r="G20" s="6">
        <v>10.88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</v>
      </c>
      <c r="B1" s="17">
        <v>46214.0</v>
      </c>
      <c r="C1" s="18">
        <v>78.5</v>
      </c>
      <c r="D1" s="17">
        <v>46244.0</v>
      </c>
      <c r="E1" s="18">
        <v>75.5</v>
      </c>
      <c r="F1" s="18">
        <v>-3.82</v>
      </c>
    </row>
    <row r="2">
      <c r="A2" s="16" t="s">
        <v>91</v>
      </c>
      <c r="B2" s="17">
        <v>46214.0</v>
      </c>
      <c r="C2" s="18">
        <v>55.8</v>
      </c>
      <c r="D2" s="17">
        <v>46244.0</v>
      </c>
      <c r="E2" s="18">
        <v>49.95</v>
      </c>
      <c r="F2" s="18">
        <v>-10.48</v>
      </c>
    </row>
    <row r="3">
      <c r="A3" s="16" t="s">
        <v>92</v>
      </c>
      <c r="B3" s="17">
        <v>46214.0</v>
      </c>
      <c r="C3" s="18">
        <v>14.35</v>
      </c>
      <c r="D3" s="17">
        <v>46244.0</v>
      </c>
      <c r="E3" s="18">
        <v>10.25</v>
      </c>
      <c r="F3" s="18">
        <v>-28.57</v>
      </c>
    </row>
    <row r="4">
      <c r="A4" s="16" t="s">
        <v>93</v>
      </c>
      <c r="B4" s="17">
        <v>46214.0</v>
      </c>
      <c r="C4" s="18">
        <v>69.1</v>
      </c>
      <c r="D4" s="17">
        <v>46244.0</v>
      </c>
      <c r="E4" s="18">
        <v>62.4</v>
      </c>
      <c r="F4" s="18">
        <v>-9.7</v>
      </c>
    </row>
    <row r="5">
      <c r="A5" s="16" t="s">
        <v>14</v>
      </c>
      <c r="B5" s="17">
        <v>46214.0</v>
      </c>
      <c r="C5" s="18">
        <v>536.0</v>
      </c>
      <c r="D5" s="17">
        <v>46244.0</v>
      </c>
      <c r="E5" s="18">
        <v>667.0</v>
      </c>
      <c r="F5" s="18">
        <v>24.44</v>
      </c>
    </row>
    <row r="6">
      <c r="A6" s="16" t="s">
        <v>22</v>
      </c>
      <c r="B6" s="17">
        <v>46214.0</v>
      </c>
      <c r="C6" s="18">
        <v>183.0</v>
      </c>
      <c r="D6" s="17">
        <v>46244.0</v>
      </c>
      <c r="E6" s="18">
        <v>145.5</v>
      </c>
      <c r="F6" s="18">
        <v>-20.49</v>
      </c>
    </row>
    <row r="7">
      <c r="A7" s="16" t="s">
        <v>94</v>
      </c>
      <c r="B7" s="17">
        <v>46214.0</v>
      </c>
      <c r="C7" s="18">
        <v>84.3</v>
      </c>
      <c r="D7" s="17">
        <v>46244.0</v>
      </c>
      <c r="E7" s="18">
        <v>74.3</v>
      </c>
      <c r="F7" s="18">
        <v>-11.86</v>
      </c>
    </row>
    <row r="8">
      <c r="A8" s="16" t="s">
        <v>95</v>
      </c>
      <c r="B8" s="17">
        <v>46214.0</v>
      </c>
      <c r="C8" s="18">
        <v>63.8</v>
      </c>
      <c r="D8" s="17">
        <v>46244.0</v>
      </c>
      <c r="E8" s="18">
        <v>61.0</v>
      </c>
      <c r="F8" s="18">
        <v>-4.39</v>
      </c>
    </row>
    <row r="9">
      <c r="A9" s="16" t="s">
        <v>96</v>
      </c>
      <c r="B9" s="17">
        <v>46214.0</v>
      </c>
      <c r="C9" s="18">
        <v>251.5</v>
      </c>
      <c r="D9" s="17">
        <v>46244.0</v>
      </c>
      <c r="E9" s="18">
        <v>189.5</v>
      </c>
      <c r="F9" s="18">
        <v>-24.65</v>
      </c>
    </row>
    <row r="10">
      <c r="A10" s="16" t="s">
        <v>17</v>
      </c>
      <c r="B10" s="17">
        <v>46214.0</v>
      </c>
      <c r="C10" s="18">
        <v>23.85</v>
      </c>
      <c r="D10" s="17">
        <v>46244.0</v>
      </c>
      <c r="E10" s="18">
        <v>23.2</v>
      </c>
      <c r="F10" s="18">
        <v>-2.73</v>
      </c>
    </row>
    <row r="11">
      <c r="A11" s="16" t="s">
        <v>78</v>
      </c>
      <c r="B11" s="17">
        <v>46214.0</v>
      </c>
      <c r="C11" s="18">
        <v>20.65</v>
      </c>
      <c r="D11" s="17">
        <v>46244.0</v>
      </c>
      <c r="E11" s="18">
        <v>18.7</v>
      </c>
      <c r="F11" s="18">
        <v>-9.44</v>
      </c>
    </row>
    <row r="12">
      <c r="A12" s="16" t="s">
        <v>97</v>
      </c>
      <c r="B12" s="17">
        <v>46214.0</v>
      </c>
      <c r="C12" s="18">
        <v>35.75</v>
      </c>
      <c r="D12" s="17">
        <v>46244.0</v>
      </c>
      <c r="E12" s="18">
        <v>35.9</v>
      </c>
      <c r="F12" s="18">
        <v>0.42</v>
      </c>
    </row>
    <row r="13">
      <c r="A13" s="16" t="s">
        <v>26</v>
      </c>
      <c r="B13" s="17">
        <v>46214.0</v>
      </c>
      <c r="C13" s="18">
        <v>33.65</v>
      </c>
      <c r="D13" s="17">
        <v>46244.0</v>
      </c>
      <c r="E13" s="18">
        <v>34.95</v>
      </c>
      <c r="F13" s="18">
        <v>3.86</v>
      </c>
    </row>
    <row r="14">
      <c r="A14" s="16" t="s">
        <v>98</v>
      </c>
      <c r="B14" s="17">
        <v>46214.0</v>
      </c>
      <c r="C14" s="18">
        <v>154.5</v>
      </c>
      <c r="D14" s="17">
        <v>46244.0</v>
      </c>
      <c r="E14" s="18">
        <v>126.5</v>
      </c>
      <c r="F14" s="18">
        <v>-18.12</v>
      </c>
    </row>
    <row r="15">
      <c r="A15" s="16" t="s">
        <v>99</v>
      </c>
      <c r="B15" s="17">
        <v>46214.0</v>
      </c>
      <c r="C15" s="18">
        <v>334.0</v>
      </c>
      <c r="D15" s="17">
        <v>46244.0</v>
      </c>
      <c r="E15" s="18">
        <v>307.5</v>
      </c>
      <c r="F15" s="18">
        <v>-7.93</v>
      </c>
    </row>
    <row r="16">
      <c r="A16" s="16" t="s">
        <v>100</v>
      </c>
      <c r="B16" s="17">
        <v>46214.0</v>
      </c>
      <c r="C16" s="18">
        <v>465.5</v>
      </c>
      <c r="D16" s="17">
        <v>46244.0</v>
      </c>
      <c r="E16" s="18">
        <v>283.0</v>
      </c>
      <c r="F16" s="18">
        <v>-39.21</v>
      </c>
    </row>
    <row r="17">
      <c r="A17" s="16" t="s">
        <v>101</v>
      </c>
      <c r="B17" s="17">
        <v>46214.0</v>
      </c>
      <c r="C17" s="18">
        <v>89.7</v>
      </c>
      <c r="D17" s="17">
        <v>46244.0</v>
      </c>
      <c r="E17" s="18">
        <v>109.0</v>
      </c>
      <c r="F17" s="18">
        <v>21.52</v>
      </c>
    </row>
    <row r="18">
      <c r="A18" s="16" t="s">
        <v>102</v>
      </c>
      <c r="B18" s="17">
        <v>46214.0</v>
      </c>
      <c r="C18" s="18">
        <v>25.2</v>
      </c>
      <c r="D18" s="17">
        <v>46244.0</v>
      </c>
      <c r="E18" s="18">
        <v>26.1</v>
      </c>
      <c r="F18" s="18">
        <v>3.57</v>
      </c>
    </row>
    <row r="19">
      <c r="A19" s="16" t="s">
        <v>103</v>
      </c>
      <c r="B19" s="17">
        <v>46214.0</v>
      </c>
      <c r="C19" s="18">
        <v>25.65</v>
      </c>
      <c r="D19" s="17">
        <v>46244.0</v>
      </c>
      <c r="E19" s="18">
        <v>21.4</v>
      </c>
      <c r="F19" s="18">
        <v>-16.57</v>
      </c>
    </row>
    <row r="20">
      <c r="A20" s="16" t="s">
        <v>104</v>
      </c>
      <c r="B20" s="17">
        <v>46214.0</v>
      </c>
      <c r="C20" s="18">
        <v>388.5</v>
      </c>
      <c r="D20" s="17">
        <v>46244.0</v>
      </c>
      <c r="E20" s="18">
        <v>482.0</v>
      </c>
      <c r="F20" s="18">
        <v>24.07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4566.0</v>
      </c>
      <c r="B1" s="6" t="s">
        <v>105</v>
      </c>
      <c r="C1" s="5">
        <v>46245.0</v>
      </c>
      <c r="D1" s="6">
        <v>27.4</v>
      </c>
      <c r="E1" s="5">
        <v>46276.0</v>
      </c>
      <c r="F1" s="6">
        <v>35.3</v>
      </c>
      <c r="G1" s="6">
        <v>28.83</v>
      </c>
      <c r="H1" s="7" t="str">
        <f>+</f>
        <v>#ERROR!</v>
      </c>
    </row>
    <row r="2">
      <c r="A2" s="6">
        <v>4567.0</v>
      </c>
      <c r="B2" s="6" t="s">
        <v>9</v>
      </c>
      <c r="C2" s="5">
        <v>46245.0</v>
      </c>
      <c r="D2" s="6">
        <v>85.5</v>
      </c>
      <c r="E2" s="5">
        <v>46276.0</v>
      </c>
      <c r="F2" s="6">
        <v>81.2</v>
      </c>
      <c r="G2" s="6">
        <v>-5.03</v>
      </c>
      <c r="H2" s="6" t="s">
        <v>5</v>
      </c>
    </row>
    <row r="3">
      <c r="A3" s="6">
        <v>4568.0</v>
      </c>
      <c r="B3" s="6" t="s">
        <v>106</v>
      </c>
      <c r="C3" s="5">
        <v>46245.0</v>
      </c>
      <c r="D3" s="6">
        <v>46.45</v>
      </c>
      <c r="E3" s="5">
        <v>46276.0</v>
      </c>
      <c r="F3" s="6">
        <v>48.2</v>
      </c>
      <c r="G3" s="6">
        <v>3.77</v>
      </c>
      <c r="H3" s="7" t="str">
        <f>+</f>
        <v>#ERROR!</v>
      </c>
    </row>
    <row r="4">
      <c r="A4" s="6">
        <v>4569.0</v>
      </c>
      <c r="B4" s="6" t="s">
        <v>67</v>
      </c>
      <c r="C4" s="5">
        <v>46245.0</v>
      </c>
      <c r="D4" s="6">
        <v>12315.0</v>
      </c>
      <c r="E4" s="5">
        <v>46276.0</v>
      </c>
      <c r="F4" s="6">
        <v>12600.0</v>
      </c>
      <c r="G4" s="6">
        <v>2.31</v>
      </c>
      <c r="H4" s="7" t="str">
        <f>+</f>
        <v>#ERROR!</v>
      </c>
    </row>
    <row r="5">
      <c r="A5" s="6">
        <v>4570.0</v>
      </c>
      <c r="B5" s="6" t="s">
        <v>12</v>
      </c>
      <c r="C5" s="5">
        <v>46245.0</v>
      </c>
      <c r="D5" s="6">
        <v>36.3</v>
      </c>
      <c r="E5" s="5">
        <v>46276.0</v>
      </c>
      <c r="F5" s="6">
        <v>38.65</v>
      </c>
      <c r="G5" s="6">
        <v>6.47</v>
      </c>
      <c r="H5" s="7" t="str">
        <f>+</f>
        <v>#ERROR!</v>
      </c>
    </row>
    <row r="6">
      <c r="A6" s="6">
        <v>4571.0</v>
      </c>
      <c r="B6" s="6" t="s">
        <v>69</v>
      </c>
      <c r="C6" s="5">
        <v>46245.0</v>
      </c>
      <c r="D6" s="6">
        <v>91.0</v>
      </c>
      <c r="E6" s="5">
        <v>46276.0</v>
      </c>
      <c r="F6" s="6">
        <v>88.8</v>
      </c>
      <c r="G6" s="6">
        <v>-2.42</v>
      </c>
      <c r="H6" s="6" t="s">
        <v>5</v>
      </c>
    </row>
    <row r="7">
      <c r="A7" s="6">
        <v>4572.0</v>
      </c>
      <c r="B7" s="6" t="s">
        <v>107</v>
      </c>
      <c r="C7" s="5">
        <v>46245.0</v>
      </c>
      <c r="D7" s="6">
        <v>839.0</v>
      </c>
      <c r="E7" s="5">
        <v>46276.0</v>
      </c>
      <c r="F7" s="6">
        <v>989.0</v>
      </c>
      <c r="G7" s="6">
        <v>17.88</v>
      </c>
      <c r="H7" s="7" t="str">
        <f>+</f>
        <v>#ERROR!</v>
      </c>
    </row>
    <row r="8">
      <c r="A8" s="6">
        <v>4573.0</v>
      </c>
      <c r="B8" s="6" t="s">
        <v>108</v>
      </c>
      <c r="C8" s="5">
        <v>46245.0</v>
      </c>
      <c r="D8" s="6">
        <v>154.0</v>
      </c>
      <c r="E8" s="5">
        <v>46276.0</v>
      </c>
      <c r="F8" s="6">
        <v>149.0</v>
      </c>
      <c r="G8" s="6">
        <v>-3.25</v>
      </c>
      <c r="H8" s="6" t="s">
        <v>5</v>
      </c>
    </row>
    <row r="9">
      <c r="A9" s="6">
        <v>4574.0</v>
      </c>
      <c r="B9" s="6" t="s">
        <v>14</v>
      </c>
      <c r="C9" s="5">
        <v>46245.0</v>
      </c>
      <c r="D9" s="6">
        <v>661.0</v>
      </c>
      <c r="E9" s="5">
        <v>46276.0</v>
      </c>
      <c r="F9" s="6">
        <v>659.0</v>
      </c>
      <c r="G9" s="6">
        <v>-0.3</v>
      </c>
      <c r="H9" s="6" t="s">
        <v>5</v>
      </c>
    </row>
    <row r="10">
      <c r="A10" s="6">
        <v>4575.0</v>
      </c>
      <c r="B10" s="6" t="s">
        <v>109</v>
      </c>
      <c r="C10" s="5">
        <v>46245.0</v>
      </c>
      <c r="D10" s="6">
        <v>45.95</v>
      </c>
      <c r="E10" s="5">
        <v>46276.0</v>
      </c>
      <c r="F10" s="6">
        <v>37.3</v>
      </c>
      <c r="G10" s="6">
        <v>-18.82</v>
      </c>
      <c r="H10" s="6" t="s">
        <v>5</v>
      </c>
    </row>
    <row r="11">
      <c r="A11" s="6">
        <v>4576.0</v>
      </c>
      <c r="B11" s="6" t="s">
        <v>110</v>
      </c>
      <c r="C11" s="5">
        <v>46245.0</v>
      </c>
      <c r="D11" s="6">
        <v>44.55</v>
      </c>
      <c r="E11" s="5">
        <v>46276.0</v>
      </c>
      <c r="F11" s="6">
        <v>46.5</v>
      </c>
      <c r="G11" s="6">
        <v>4.38</v>
      </c>
      <c r="H11" s="7" t="str">
        <f>+</f>
        <v>#ERROR!</v>
      </c>
    </row>
    <row r="12">
      <c r="A12" s="6">
        <v>4577.0</v>
      </c>
      <c r="B12" s="6" t="s">
        <v>111</v>
      </c>
      <c r="C12" s="5">
        <v>46245.0</v>
      </c>
      <c r="D12" s="6">
        <v>41.75</v>
      </c>
      <c r="E12" s="5">
        <v>46276.0</v>
      </c>
      <c r="F12" s="6">
        <v>41.8</v>
      </c>
      <c r="G12" s="6">
        <v>0.12</v>
      </c>
      <c r="H12" s="7" t="str">
        <f>+</f>
        <v>#ERROR!</v>
      </c>
    </row>
    <row r="13">
      <c r="A13" s="6">
        <v>4578.0</v>
      </c>
      <c r="B13" s="6" t="s">
        <v>112</v>
      </c>
      <c r="C13" s="5">
        <v>46245.0</v>
      </c>
      <c r="D13" s="6">
        <v>87.3</v>
      </c>
      <c r="E13" s="5">
        <v>46276.0</v>
      </c>
      <c r="F13" s="6">
        <v>100.5</v>
      </c>
      <c r="G13" s="6">
        <v>15.12</v>
      </c>
      <c r="H13" s="7" t="str">
        <f>+</f>
        <v>#ERROR!</v>
      </c>
    </row>
    <row r="14">
      <c r="A14" s="6">
        <v>4579.0</v>
      </c>
      <c r="B14" s="6" t="s">
        <v>17</v>
      </c>
      <c r="C14" s="5">
        <v>46245.0</v>
      </c>
      <c r="D14" s="6">
        <v>23.1</v>
      </c>
      <c r="E14" s="5">
        <v>46276.0</v>
      </c>
      <c r="F14" s="6">
        <v>26.85</v>
      </c>
      <c r="G14" s="6">
        <v>16.23</v>
      </c>
      <c r="H14" s="7" t="str">
        <f>+</f>
        <v>#ERROR!</v>
      </c>
    </row>
    <row r="15">
      <c r="A15" s="6">
        <v>4580.0</v>
      </c>
      <c r="B15" s="6" t="s">
        <v>20</v>
      </c>
      <c r="C15" s="5">
        <v>46245.0</v>
      </c>
      <c r="D15" s="6">
        <v>43.22</v>
      </c>
      <c r="E15" s="5">
        <v>46276.0</v>
      </c>
      <c r="F15" s="6">
        <v>44.8</v>
      </c>
      <c r="G15" s="6">
        <v>3.66</v>
      </c>
      <c r="H15" s="7" t="str">
        <f>+</f>
        <v>#ERROR!</v>
      </c>
    </row>
    <row r="16">
      <c r="A16" s="6">
        <v>4581.0</v>
      </c>
      <c r="B16" s="6" t="s">
        <v>23</v>
      </c>
      <c r="C16" s="5">
        <v>46245.0</v>
      </c>
      <c r="D16" s="6">
        <v>31.05</v>
      </c>
      <c r="E16" s="5">
        <v>46276.0</v>
      </c>
      <c r="F16" s="6">
        <v>37.2</v>
      </c>
      <c r="G16" s="6">
        <v>19.81</v>
      </c>
      <c r="H16" s="7" t="str">
        <f>+</f>
        <v>#ERROR!</v>
      </c>
    </row>
    <row r="17">
      <c r="A17" s="6">
        <v>4582.0</v>
      </c>
      <c r="B17" s="6" t="s">
        <v>113</v>
      </c>
      <c r="C17" s="5">
        <v>46245.0</v>
      </c>
      <c r="D17" s="6">
        <v>49.4</v>
      </c>
      <c r="E17" s="5">
        <v>46276.0</v>
      </c>
      <c r="F17" s="6">
        <v>49.9</v>
      </c>
      <c r="G17" s="6">
        <v>1.01</v>
      </c>
      <c r="H17" s="7" t="str">
        <f>+</f>
        <v>#ERROR!</v>
      </c>
    </row>
    <row r="18">
      <c r="A18" s="6">
        <v>4583.0</v>
      </c>
      <c r="B18" s="6" t="s">
        <v>27</v>
      </c>
      <c r="C18" s="5">
        <v>46245.0</v>
      </c>
      <c r="D18" s="6">
        <v>35.55</v>
      </c>
      <c r="E18" s="5">
        <v>46276.0</v>
      </c>
      <c r="F18" s="6">
        <v>42.15</v>
      </c>
      <c r="G18" s="6">
        <v>18.57</v>
      </c>
      <c r="H18" s="7" t="str">
        <f>+</f>
        <v>#ERROR!</v>
      </c>
    </row>
    <row r="19">
      <c r="A19" s="6">
        <v>4584.0</v>
      </c>
      <c r="B19" s="6" t="s">
        <v>26</v>
      </c>
      <c r="C19" s="5">
        <v>46245.0</v>
      </c>
      <c r="D19" s="6">
        <v>32.7</v>
      </c>
      <c r="E19" s="5">
        <v>46276.0</v>
      </c>
      <c r="F19" s="6">
        <v>38.0</v>
      </c>
      <c r="G19" s="6">
        <v>16.21</v>
      </c>
      <c r="H19" s="7" t="str">
        <f>+</f>
        <v>#ERROR!</v>
      </c>
    </row>
    <row r="20">
      <c r="A20" s="6">
        <v>4585.0</v>
      </c>
      <c r="B20" s="6" t="s">
        <v>114</v>
      </c>
      <c r="C20" s="5">
        <v>46245.0</v>
      </c>
      <c r="D20" s="6">
        <v>108.0</v>
      </c>
      <c r="E20" s="5">
        <v>46276.0</v>
      </c>
      <c r="F20" s="6">
        <v>84.4</v>
      </c>
      <c r="G20" s="6">
        <v>-21.85</v>
      </c>
      <c r="H20" s="6" t="s">
        <v>5</v>
      </c>
    </row>
  </sheetData>
  <drawing r:id="rId1"/>
</worksheet>
</file>